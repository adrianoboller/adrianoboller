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7cf1ff7a9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e 110" sheetId="1" r:id="R81bf5a80a4734b43"/>
    <x:sheet xmlns:r="http://schemas.openxmlformats.org/officeDocument/2006/relationships" name="Resumo" sheetId="2" r:id="R7b4e787ecec843f4"/>
    <x:sheet xmlns:r="http://schemas.openxmlformats.org/officeDocument/2006/relationships" name="Fluxos" sheetId="3" r:id="R86e607d1ed07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i/>
      <x:sz val="11"/>
      <x:color rgb="FF1E3A8A"/>
      <x:name val="Carlito"/>
    </x:font>
    <x:font>
      <x:b/>
      <x:sz val="16"/>
      <x:color rgb="FFF8C85C"/>
      <x:name val="Carlito"/>
    </x:font>
    <x:font>
      <x:b/>
      <x:sz val="13"/>
      <x:color rgb="FFF8C85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0B1F33"/>
      </x:patternFill>
    </x:fill>
    <x:fill>
      <x:patternFill patternType="solid">
        <x:fgColor rgb="FF07182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3"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DFF2F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ill>
        <x:patternFill>
          <x:bgColor rgb="FFEEF7FB"/>
        </x:patternFill>
      </x:fill>
    </x:dxf>
    <x:dxf>
      <x:fill>
        <x:patternFill>
          <x:bgColor rgb="FFEE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15873592e4251" /><Relationship Type="http://schemas.openxmlformats.org/officeDocument/2006/relationships/theme" Target="/xl/theme/theme1.xml" Id="Rfb65b3f0753247ad" /><Relationship Type="http://schemas.openxmlformats.org/officeDocument/2006/relationships/sharedStrings" Target="/xl/sharedStrings.xml" Id="Rf785fd5ddba04c59" /><Relationship Type="http://schemas.openxmlformats.org/officeDocument/2006/relationships/worksheet" Target="/xl/worksheets/sheet1.xml" Id="R81bf5a80a4734b43" /><Relationship Type="http://schemas.openxmlformats.org/officeDocument/2006/relationships/worksheet" Target="/xl/worksheets/sheet2.xml" Id="R7b4e787ecec843f4" /><Relationship Type="http://schemas.openxmlformats.org/officeDocument/2006/relationships/worksheet" Target="/xl/worksheets/sheet3.xml" Id="R86e607d1ed074c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a12c15447049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por macroárea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'Resumo'!$D$4:$D$14</c:f>
              <c:strCache>
                <c:ptCount val="0"/>
              </c:strCache>
            </c:strRef>
          </c:cat>
          <c:val>
            <c:numRef>
              <c:f>'Resumo'!$E$4:$E$14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a12c15447049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oenixClawAgents110" displayName="PhoenixClawAgents110" ref="A1:Q111" headerRowCount="1" totalsRowCount="0" totalsRowShown="0">
  <x:tableColumns count="17">
    <x:tableColumn id="1" name="ID"/>
    <x:tableColumn id="2" name="Macroárea"/>
    <x:tableColumn id="3" name="Núcleo"/>
    <x:tableColumn id="4" name="Agente / Subagente"/>
    <x:tableColumn id="5" name="Tipo"/>
    <x:tableColumn id="6" name="Missão no PhoenixClaw"/>
    <x:tableColumn id="7" name="Responsabilidades detalhadas"/>
    <x:tableColumn id="8" name="Recursos / Ferramentas"/>
    <x:tableColumn id="9" name="Ações autorizadas"/>
    <x:tableColumn id="10" name="Quando acionar"/>
    <x:tableColumn id="11" name="Entradas / Dependências"/>
    <x:tableColumn id="12" name="Entregáveis / Evidências"/>
    <x:tableColumn id="13" name="Limites / Não pode"/>
    <x:tableColumn id="14" name="Próximo gate / Destino"/>
    <x:tableColumn id="15" name="Execução"/>
    <x:tableColumn id="16" name="Modelo sugerido"/>
    <x:tableColumn id="17" name="Critic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enixClawFlows" displayName="PhoenixClawFlows" ref="A3:F35" headerRowCount="1" totalsRowCount="0" totalsRowShown="0">
  <x:tableColumns count="6">
    <x:tableColumn id="1" name="Fluxo"/>
    <x:tableColumn id="2" name="Etapa"/>
    <x:tableColumn id="3" name="Agente/Papel"/>
    <x:tableColumn id="4" name="Objetivo"/>
    <x:tableColumn id="5" name="Gate/Evidência"/>
    <x:tableColumn id="6" name="Próxi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3bc78a8e548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64c1e1f7424c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c2727360fa448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8" hidden="0" customWidth="1"/>
    <x:col min="4" max="4" width="28" hidden="0" customWidth="1"/>
    <x:col min="5" max="5" width="20" hidden="0" customWidth="1"/>
    <x:col min="6" max="6" width="38" hidden="0" customWidth="1"/>
    <x:col min="7" max="7" width="52" hidden="0" customWidth="1"/>
    <x:col min="8" max="8" width="38" hidden="0" customWidth="1"/>
    <x:col min="9" max="9" width="38" hidden="0" customWidth="1"/>
    <x:col min="10" max="10" width="32" hidden="0" customWidth="1"/>
    <x:col min="11" max="11" width="36" hidden="0" customWidth="1"/>
    <x:col min="12" max="12" width="36" hidden="0" customWidth="1"/>
    <x:col min="13" max="13" width="38" hidden="0" customWidth="1"/>
    <x:col min="14" max="14" width="30" hidden="0" customWidth="1"/>
    <x:col min="15" max="15" width="14" hidden="0" customWidth="1"/>
    <x:col min="16" max="16" width="18" hidden="0" customWidth="1"/>
    <x:col min="17" max="17" width="12" hidden="0" customWidth="1"/>
    <x:col min="18" max="18" width="38" hidden="0" customWidth="1"/>
    <x:col min="19" max="19" width="48" hidden="0" customWidth="1"/>
    <x:col min="20" max="20" width="30" hidden="0" customWidth="1"/>
    <x:col min="21" max="21" width="48" hidden="0" customWidth="1"/>
    <x:col min="22" max="22" width="44" hidden="0" customWidth="1"/>
    <x:col min="23" max="23" width="48" hidden="0" customWidth="1"/>
    <x:col min="24" max="24" width="58" hidden="0" customWidth="1"/>
  </x:cols>
  <x:sheetData>
    <x:row r="1" ht="32" customHeight="1">
      <x:c r="A1" s="29" t="str">
        <x:v>ID</x:v>
      </x:c>
      <x:c r="B1" s="29" t="str">
        <x:v>Macroárea</x:v>
      </x:c>
      <x:c r="C1" s="29" t="str">
        <x:v>Núcleo</x:v>
      </x:c>
      <x:c r="D1" s="29" t="str">
        <x:v>Agente / Subagente</x:v>
      </x:c>
      <x:c r="E1" s="29" t="str">
        <x:v>Tipo</x:v>
      </x:c>
      <x:c r="F1" s="29" t="str">
        <x:v>Missão no PhoenixClaw</x:v>
      </x:c>
      <x:c r="G1" s="29" t="str">
        <x:v>Responsabilidades detalhadas</x:v>
      </x:c>
      <x:c r="H1" s="29" t="str">
        <x:v>Recursos / Ferramentas</x:v>
      </x:c>
      <x:c r="I1" s="29" t="str">
        <x:v>Ações autorizadas</x:v>
      </x:c>
      <x:c r="J1" s="29" t="str">
        <x:v>Quando acionar</x:v>
      </x:c>
      <x:c r="K1" s="29" t="str">
        <x:v>Entradas / Dependências</x:v>
      </x:c>
      <x:c r="L1" s="29" t="str">
        <x:v>Entregáveis / Evidências</x:v>
      </x:c>
      <x:c r="M1" s="29" t="str">
        <x:v>Limites / Não pode</x:v>
      </x:c>
      <x:c r="N1" s="29" t="str">
        <x:v>Próximo gate / Destino</x:v>
      </x:c>
      <x:c r="O1" s="29" t="str">
        <x:v>Execução</x:v>
      </x:c>
      <x:c r="P1" s="29" t="str">
        <x:v>Modelo sugerido</x:v>
      </x:c>
      <x:c r="Q1" s="29" t="str">
        <x:v>Criticidade</x:v>
      </x:c>
      <x:c r="R1" s="29" t="str">
        <x:v>UUIDv7</x:v>
      </x:c>
      <x:c r="S1" s="29" t="str">
        <x:v>Módulos F14–F25</x:v>
      </x:c>
      <x:c r="T1" s="29" t="str">
        <x:v>Capability principal</x:v>
      </x:c>
      <x:c r="U1" s="29" t="str">
        <x:v>Memória / Skill / Estado</x:v>
      </x:c>
      <x:c r="V1" s="29" t="str">
        <x:v>Event Topics / Evidence</x:v>
      </x:c>
      <x:c r="W1" s="29" t="str">
        <x:v>Política / Aprovação</x:v>
      </x:c>
      <x:c r="X1" s="29" t="str">
        <x:v>Referências / Reuso clean-room</x:v>
      </x:c>
    </x:row>
    <x:row r="2" ht="62" customHeight="1">
      <x:c r="A2" s="14" t="n">
        <x:v>1</x:v>
      </x:c>
      <x:c r="B2" s="14" t="str">
        <x:v>Governança &amp; Estratégia</x:v>
      </x:c>
      <x:c r="C2" s="14" t="str">
        <x:v>Governança</x:v>
      </x:c>
      <x:c r="D2" s="14" t="str">
        <x:v>Product Owner – Humano</x:v>
      </x:c>
      <x:c r="E2" s="14" t="str">
        <x:v>Papel humano</x:v>
      </x:c>
      <x:c r="F2" s="14" t="str">
        <x:v>Define o objetivo de negócio e mantém a autoridade final sobre prioridades e mudanças críticas.</x:v>
      </x:c>
      <x:c r="G2" s="14" t="str">
        <x:v>Define visão, prioridades, orçamento, riscos aceitáveis e critérios de sucesso; decide sobre mudanças constitucionais, releases críticas e impactos de produto.</x:v>
      </x:c>
      <x:c r="H2" s="14" t="str">
        <x:v>Roadmap, relatórios QA, Evidence Graph, orçamento, métricas de produto.</x:v>
      </x:c>
      <x:c r="I2" s="14" t="str">
        <x:v>Priorizar, aprovar objetivos, aceitar/rejeitar mudanças críticas, autorizar exceções.</x:v>
      </x:c>
      <x:c r="J2" s="14" t="str">
        <x:v>Nova iniciativa, conflito estratégico, release crítica ou mudança constitucional.</x:v>
      </x:c>
      <x:c r="K2" s="14" t="str">
        <x:v>Relatórios do PhoenixClaw, evidências, custos, riscos e recomendações dos agentes.</x:v>
      </x:c>
      <x:c r="L2" s="14" t="str">
        <x:v>Decisão humana rastreável, prioridade e aceite final de produto.</x:v>
      </x:c>
      <x:c r="M2" s="14" t="str">
        <x:v>Não implementa nem substitui os gates técnicos.</x:v>
      </x:c>
      <x:c r="N2" s="14" t="str">
        <x:v>Master Orchestrator / PMO recebe a decisão.</x:v>
      </x:c>
      <x:c r="O2" s="14" t="str">
        <x:v>Permanente</x:v>
      </x:c>
      <x:c r="P2" s="14" t="str">
        <x:v>Humano</x:v>
      </x:c>
      <x:c r="Q2" s="14" t="str">
        <x:v>Crítica</x:v>
      </x:c>
      <x:c r="R2" s="14" t="str">
        <x:v>01a0e473-f601-710f-a4c9-f0e852a63358</x:v>
      </x:c>
      <x:c r="S2" s="14" t="str">
        <x:v>F15 Skill Runtime + Memory/Context Engine | F17 Checkpoint + Rollback | F20 Team Runtime</x:v>
      </x:c>
      <x:c r="T2" s="14" t="str">
        <x:v>governance.objective.approve</x:v>
      </x:c>
      <x:c r="U2" s="14" t="str">
        <x:v>Skills versionadas; promoção só após prova; Memory/Context sob escopo; Context Pack mínimo; Checkpoint manifest + hashes + rollback evidence; Estado operacional persistente em PostgreSQL</x:v>
      </x:c>
      <x:c r="V2" s="14" t="str">
        <x:v>agent.product.owner.humano.started / .completed / .failed + evidence.ledger.recorded</x:v>
      </x:c>
      <x:c r="W2" s="14" t="str">
        <x:v>Autoridade humana final; decisão registrada; sem execução técnica direta.</x:v>
      </x:c>
      <x:c r="X2" s="14" t="str">
        <x:v>oh-my-claudecode (MIT) — multiagentes/jobs/skills/router | Hermes — patterns; validar licença por versão | ZeroClaw — benchmark Rust/providers/tools</x:v>
      </x:c>
    </x:row>
    <x:row r="3" ht="62" customHeight="1">
      <x:c r="A3" s="14" t="n">
        <x:v>2</x:v>
      </x:c>
      <x:c r="B3" s="14" t="str">
        <x:v>Governança &amp; Estratégia</x:v>
      </x:c>
      <x:c r="C3" s="14" t="str">
        <x:v>Comando</x:v>
      </x:c>
      <x:c r="D3" s="14" t="str">
        <x:v>Master Orchestrator</x:v>
      </x:c>
      <x:c r="E3" s="14" t="str">
        <x:v>Agente líder</x:v>
      </x:c>
      <x:c r="F3" s="14" t="str">
        <x:v>Coordena toda a fábrica e garante que cada trabalho siga dependências, permissões e gates.</x:v>
      </x:c>
      <x:c r="G3" s="14" t="str">
        <x:v>Instancia agentes, distribui tarefas, acompanha estado, resolve dependências operacionais, aciona escalonamentos e mantém a execução alinhada ao Sprint/Task Graph.</x:v>
      </x:c>
      <x:c r="H3" s="14" t="str">
        <x:v>PostgreSQL, Task Graph, Agent Registry, Model Router, Tool Gateway, Budget Engine.</x:v>
      </x:c>
      <x:c r="I3" s="14" t="str">
        <x:v>Criar/atribuir tasks, pausar fluxo, acionar especialistas, cobrar gates, encerrar execução.</x:v>
      </x:c>
      <x:c r="J3" s="14" t="str">
        <x:v>Qualquer demanda aceita para execução.</x:v>
      </x:c>
      <x:c r="K3" s="14" t="str">
        <x:v>Requisito aprovado, capacidade disponível, orçamento e dependências.</x:v>
      </x:c>
      <x:c r="L3" s="14" t="str">
        <x:v>Plano de execução, task assignments, status e trilha de auditoria.</x:v>
      </x:c>
      <x:c r="M3" s="14" t="str">
        <x:v>Não altera sozinho Constituição/ADRs nem aprova seu próprio fluxo.</x:v>
      </x:c>
      <x:c r="N3" s="14" t="str">
        <x:v>Encaminha ao papel correto e ao próximo gate.</x:v>
      </x:c>
      <x:c r="O3" s="14" t="str">
        <x:v>Permanente</x:v>
      </x:c>
      <x:c r="P3" s="14" t="str">
        <x:v>Híbrido</x:v>
      </x:c>
      <x:c r="Q3" s="14" t="str">
        <x:v>Crítica</x:v>
      </x:c>
      <x:c r="R3" s="14" t="str">
        <x:v>01a0e473-f602-7e32-9e89-7886eab11711</x:v>
      </x:c>
      <x:c r="S3" s="14" t="str">
        <x:v>F15 Skill Runtime + Memory/Context Engine | F16 Scheduler + Background Jobs | F20 Team Runtime | F22 Device Nodes</x:v>
      </x:c>
      <x:c r="T3" s="14" t="str">
        <x:v>task.orchestrate</x:v>
      </x:c>
      <x:c r="U3" s="14" t="str">
        <x:v>Skills versionadas; promoção só após prova; Memory/Context sob escopo; Context Pack mínimo; Job UUIDv7 + lease/heartbeat/resume em PostgreSQL; Node/session state efêmero e pareado</x:v>
      </x:c>
      <x:c r="V3" s="14" t="str">
        <x:v>agent.master.orchestrator.started / .completed / .failed + evidence.ledger.recorded</x:v>
      </x:c>
      <x:c r="W3" s="14" t="str">
        <x:v>Least privilege; write sensível, gasto, publicação, privilégio ou ação destrutiva exigem gate explícito. Device input/screen exige autorização de sessão e logging.</x:v>
      </x:c>
      <x:c r="X3" s="14" t="str">
        <x:v>oh-my-claudecode (MIT) — multiagentes/jobs/skills/router | Hermes — patterns; validar licença por versão | OpenClaw — gateway/nodes/channels; validar licença por versão</x:v>
      </x:c>
    </x:row>
    <x:row r="4" ht="62" customHeight="1">
      <x:c r="A4" s="14" t="n">
        <x:v>3</x:v>
      </x:c>
      <x:c r="B4" s="14" t="str">
        <x:v>Governança &amp; Estratégia</x:v>
      </x:c>
      <x:c r="C4" s="14" t="str">
        <x:v>Produto</x:v>
      </x:c>
      <x:c r="D4" s="14" t="str">
        <x:v>Analista</x:v>
      </x:c>
      <x:c r="E4" s="14" t="str">
        <x:v>Agente de análise</x:v>
      </x:c>
      <x:c r="F4" s="14" t="str">
        <x:v>Transforma pedidos vagos em escopo executável, MVP e critérios de aceite objetivos.</x:v>
      </x:c>
      <x:c r="G4" s="14" t="str">
        <x:v>Recorta a demanda, identifica usuários, casos de uso, fora de escopo, dependências, riscos, MVP, requisitos funcionais/não funcionais e critérios de aceite mensuráveis.</x:v>
      </x:c>
      <x:c r="H4" s="14" t="str">
        <x:v>Knowledge Graph, histórico, requisitos, entrevistas/contexto, templates de escopo.</x:v>
      </x:c>
      <x:c r="I4" s="14" t="str">
        <x:v>Criar Requirement, Acceptance Criteria, MVP, riscos e perguntas em aberto.</x:v>
      </x:c>
      <x:c r="J4" s="14" t="str">
        <x:v>Demanda nova ou alteração relevante.</x:v>
      </x:c>
      <x:c r="K4" s="14" t="str">
        <x:v>Pedido humano, contexto do produto e decisões anteriores.</x:v>
      </x:c>
      <x:c r="L4" s="14" t="str">
        <x:v>Escopo versionado, MVP e critérios de aceite.</x:v>
      </x:c>
      <x:c r="M4" s="14" t="str">
        <x:v>Não escolhe arquitetura nem implementa.</x:v>
      </x:c>
      <x:c r="N4" s="14" t="str">
        <x:v>Arquiteto.</x:v>
      </x:c>
      <x:c r="O4" s="14" t="str">
        <x:v>Sob demanda</x:v>
      </x:c>
      <x:c r="P4" s="14" t="str">
        <x:v>Ollama/Claude</x:v>
      </x:c>
      <x:c r="Q4" s="14" t="str">
        <x:v>Alta</x:v>
      </x:c>
      <x:c r="R4" s="14" t="str">
        <x:v>01a0e473-f603-72b3-946d-c6b9621006f8</x:v>
      </x:c>
      <x:c r="S4" s="14" t="str">
        <x:v>F15 Skill Runtime + Memory/Context Engine | F20 Team Runtime | F22 Device Nodes</x:v>
      </x:c>
      <x:c r="T4" s="14" t="str">
        <x:v>requirements.analyze</x:v>
      </x:c>
      <x:c r="U4" s="14" t="str">
        <x:v>Skills versionadas; promoção só após prova; Memory/Context sob escopo; Context Pack mínimo; Node/session state efêmero e pareado</x:v>
      </x:c>
      <x:c r="V4" s="14" t="str">
        <x:v>agent.analista.started / .completed / .failed + evidence.ledger.recorded</x:v>
      </x:c>
      <x:c r="W4" s="14" t="str">
        <x:v>Least privilege; writes policy-gated; evidência obrigatória; sem autoaprovação. Device input/screen exige autorização de sessão e logging.</x:v>
      </x:c>
      <x:c r="X4" s="14" t="str">
        <x:v>oh-my-claudecode (MIT) — multiagentes/jobs/skills/router | Hermes — patterns; validar licença por versão | OpenClaw — gateway/nodes/channels; validar licença por versão</x:v>
      </x:c>
    </x:row>
    <x:row r="5" ht="62" customHeight="1">
      <x:c r="A5" s="14" t="n">
        <x:v>4</x:v>
      </x:c>
      <x:c r="B5" s="14" t="str">
        <x:v>Engenharia &amp; Arquitetura</x:v>
      </x:c>
      <x:c r="C5" s="14" t="str">
        <x:v>Arquitetura</x:v>
      </x:c>
      <x:c r="D5" s="14" t="str">
        <x:v>Arquiteto</x:v>
      </x:c>
      <x:c r="E5" s="14" t="str">
        <x:v>Agente de arquitetura</x:v>
      </x:c>
      <x:c r="F5" s="14" t="str">
        <x:v>Desenha módulos, limites e trade-offs antes da implementação.</x:v>
      </x:c>
      <x:c r="G5" s="14" t="str">
        <x:v>Define boundaries, contratos entre módulos, dependências permitidas, padrões, ADRs, estratégia de dados, concorrência, extensibilidade por plugins e impactos futuros.</x:v>
      </x:c>
      <x:c r="H5" s="14" t="str">
        <x:v>Repo, Constitution, ADRs, Dependency Graph, requisitos e benchmarks.</x:v>
      </x:c>
      <x:c r="I5" s="14" t="str">
        <x:v>Propor arquitetura, escrever ADR, bloquear acoplamento indevido, solicitar RFC.</x:v>
      </x:c>
      <x:c r="J5" s="14" t="str">
        <x:v>Feature estrutural, novo módulo, breaking change ou mudança de fundação.</x:v>
      </x:c>
      <x:c r="K5" s="14" t="str">
        <x:v>Escopo do Analista, Research, Oráculo e restrições do Phoenix.</x:v>
      </x:c>
      <x:c r="L5" s="14" t="str">
        <x:v>ADR, diagrama lógico, contratos e trade-offs.</x:v>
      </x:c>
      <x:c r="M5" s="14" t="str">
        <x:v>Não implementa e não aprova sozinho sua própria arquitetura.</x:v>
      </x:c>
      <x:c r="N5" s="14" t="str">
        <x:v>Chaveiro / Guardian.</x:v>
      </x:c>
      <x:c r="O5" s="14" t="str">
        <x:v>Sob demanda</x:v>
      </x:c>
      <x:c r="P5" s="14" t="str">
        <x:v>Claude/Codex</x:v>
      </x:c>
      <x:c r="Q5" s="14" t="str">
        <x:v>Crítica</x:v>
      </x:c>
      <x:c r="R5" s="14" t="str">
        <x:v>01a0e473-f604-77d8-a13d-7ee652e67964</x:v>
      </x:c>
      <x:c r="S5" s="14" t="str">
        <x:v>F15 Skill Runtime + Memory/Context Engine | F19 Repo Intelligence / Tree-sitter | F22 Device Nodes | F25 Knowledge / Evidence Graph</x:v>
      </x:c>
      <x:c r="T5" s="14" t="str">
        <x:v>architecture.design</x:v>
      </x:c>
      <x:c r="U5" s="14" t="str">
        <x:v>Skills versionadas; promoção só após prova; Memory/Context sob escopo; Context Pack mínimo; Node/session state efêmero e pareado; Knowledge/Evidence Graph com proveniência</x:v>
      </x:c>
      <x:c r="V5" s="14" t="str">
        <x:v>agent.arquiteto.started / .completed / .failed + evidence.ledger.recorded</x:v>
      </x:c>
      <x:c r="W5" s="14" t="str">
        <x:v>Least privilege; write sensível, gasto, publicação, privilégio ou ação destrutiva exigem gate explícito. Device input/screen exige autorização de sessão e logging.</x:v>
      </x:c>
      <x:c r="X5" s="14" t="str">
        <x:v>Architect (MIT) — AST/Tree-sitter/Repo Intelligence | oh-my-claudecode (MIT) — multiagentes/jobs/skills/router | Hermes — patterns; validar licença por versão</x:v>
      </x:c>
    </x:row>
    <x:row r="6" ht="62" customHeight="1">
      <x:c r="A6" s="14" t="n">
        <x:v>5</x:v>
      </x:c>
      <x:c r="B6" s="14" t="str">
        <x:v>Governança &amp; Estratégia</x:v>
      </x:c>
      <x:c r="C6" s="14" t="str">
        <x:v>Estratégia</x:v>
      </x:c>
      <x:c r="D6" s="14" t="str">
        <x:v>Morpheus</x:v>
      </x:c>
      <x:c r="E6" s="14" t="str">
        <x:v>Agente mentor</x:v>
      </x:c>
      <x:c r="F6" s="14" t="str">
        <x:v>Mantém a visão de longo prazo e decide o nível correto de escalonamento técnico.</x:v>
      </x:c>
      <x:c r="G6" s="14" t="str">
        <x:v>Questiona premissas estratégicas, conecta roadmap à arquitetura, prepara missões complexas e escolhe quando acionar Neo/Trinity ou manter o fluxo normal.</x:v>
      </x:c>
      <x:c r="H6" s="14" t="str">
        <x:v>Roadmap, ADRs, Goal Drift, riscos, relatórios de Oráculo e QA.</x:v>
      </x:c>
      <x:c r="I6" s="14" t="str">
        <x:v>Orientar, escalonar, reenquadrar objetivo e solicitar revisão estratégica.</x:v>
      </x:c>
      <x:c r="J6" s="14" t="str">
        <x:v>Problema de alta incerteza, conflito de visão ou bloqueio prolongado.</x:v>
      </x:c>
      <x:c r="K6" s="14" t="str">
        <x:v>Estado real do projeto e recomendações de agentes seniores.</x:v>
      </x:c>
      <x:c r="L6" s="14" t="str">
        <x:v>Direção de missão e decisão de escalonamento.</x:v>
      </x:c>
      <x:c r="M6" s="14" t="str">
        <x:v>Não substitui PO, Arquiteto ou QA.</x:v>
      </x:c>
      <x:c r="N6" s="14" t="str">
        <x:v>Oráculo / Arquiteto / Neo-Trinity.</x:v>
      </x:c>
      <x:c r="O6" s="14" t="str">
        <x:v>Sob demanda</x:v>
      </x:c>
      <x:c r="P6" s="14" t="str">
        <x:v>Claude</x:v>
      </x:c>
      <x:c r="Q6" s="14" t="str">
        <x:v>Crítica</x:v>
      </x:c>
      <x:c r="R6" s="14" t="str">
        <x:v>01a0e473-f605-74d9-812b-8ec827796405</x:v>
      </x:c>
      <x:c r="S6" s="14" t="str">
        <x:v>F15 Skill Runtime + Memory/Context Engine | F19 Repo Intelligence / Tree-sitter | F20 Team Runtime | F22 Device Nodes</x:v>
      </x:c>
      <x:c r="T6" s="14" t="str">
        <x:v>strategy.escalate</x:v>
      </x:c>
      <x:c r="U6" s="14" t="str">
        <x:v>Skills versionadas; promoção só após prova; Memory/Context sob escopo; Context Pack mínimo; Node/session state efêmero e pareado</x:v>
      </x:c>
      <x:c r="V6" s="14" t="str">
        <x:v>agent.morpheus.started / .completed / .failed + evidence.ledger.recorded</x:v>
      </x:c>
      <x:c r="W6" s="14" t="str">
        <x:v>Least privilege; write sensível, gasto, publicação, privilégio ou ação destrutiva exigem gate explícito. Device input/screen exige autorização de sessão e logging.</x:v>
      </x:c>
      <x:c r="X6" s="14" t="str">
        <x:v>Architect (MIT) — AST/Tree-sitter/Repo Intelligence | oh-my-claudecode (MIT) — multiagentes/jobs/skills/router | Hermes — patterns; validar licença por versão</x:v>
      </x:c>
    </x:row>
    <x:row r="7" ht="62" customHeight="1">
      <x:c r="A7" s="14" t="n">
        <x:v>6</x:v>
      </x:c>
      <x:c r="B7" s="14" t="str">
        <x:v>Governança &amp; Estratégia</x:v>
      </x:c>
      <x:c r="C7" s="14" t="str">
        <x:v>Decisão</x:v>
      </x:c>
      <x:c r="D7" s="14" t="str">
        <x:v>Oráculo</x:v>
      </x:c>
      <x:c r="E7" s="14" t="str">
        <x:v>Agente de decisão</x:v>
      </x:c>
      <x:c r="F7" s="14" t="str">
        <x:v>Escolhe o caminho técnico com base no repositório e em evidências reais.</x:v>
      </x:c>
      <x:c r="G7" s="14" t="str">
        <x:v>Compara alternativas usando código, ADRs, métricas, testes, pesquisa e custo; produz decisão explicável, nível de confiança e impacto.</x:v>
      </x:c>
      <x:c r="H7" s="14" t="str">
        <x:v>Repo, ADRs, Evidence Graph, benchmarks, pesquisas, Compatibility Matrix.</x:v>
      </x:c>
      <x:c r="I7" s="14" t="str">
        <x:v>Emitir Decision Record, recomendar opção, pedir experimento adicional.</x:v>
      </x:c>
      <x:c r="J7" s="14" t="str">
        <x:v>Decisão difícil, ambiguidade técnica ou conflito entre alternativas.</x:v>
      </x:c>
      <x:c r="K7" s="14" t="str">
        <x:v>Evidence Pack, hipóteses, arquitetura atual e restrições.</x:v>
      </x:c>
      <x:c r="L7" s="14" t="str">
        <x:v>Decision Record com opções, riscos, evidências e confiança.</x:v>
      </x:c>
      <x:c r="M7" s="14" t="str">
        <x:v>Não muda arquitetura crítica sem gate humano/RFC.</x:v>
      </x:c>
      <x:c r="N7" s="14" t="str">
        <x:v>Arquiteto / Morpheus / PO quando crítico.</x:v>
      </x:c>
      <x:c r="O7" s="14" t="str">
        <x:v>Sob demanda</x:v>
      </x:c>
      <x:c r="P7" s="14" t="str">
        <x:v>Claude</x:v>
      </x:c>
      <x:c r="Q7" s="14" t="str">
        <x:v>Crítica</x:v>
      </x:c>
      <x:c r="R7" s="14" t="str">
        <x:v>01a0e473-f606-78cd-86b5-d4192e95853c</x:v>
      </x:c>
      <x:c r="S7" s="14" t="str">
        <x:v>F15 Skill Runtime + Memory/Context Engine | F19 Repo Intelligence / Tree-sitter | F20 Team Runtime | F22 Device Nodes | F24 Auto-learning + Skill Evolution | F25 Knowledge / Evidence Graph</x:v>
      </x:c>
      <x:c r="T7" s="14" t="str">
        <x:v>decision.evidence.resolve</x:v>
      </x:c>
      <x:c r="U7" s="14" t="str">
        <x:v>Skills versionadas; promoção só após prova; Memory/Context sob escopo; Context Pack mínimo; Node/session state efêmero e pareado; Candidate Skill → Hypothesis → OPA/QA → Registry</x:v>
      </x:c>
      <x:c r="V7" s="14" t="str">
        <x:v>agent.oraculo.started / .completed / .failed + evidence.ledger.recorded</x:v>
      </x:c>
      <x:c r="W7" s="14" t="str">
        <x:v>Least privilege; write sensível, gasto, publicação, privilégio ou ação destrutiva exigem gate explícito. Device input/screen exige autorização de sessão e logging.</x:v>
      </x:c>
      <x:c r="X7" s="14" t="str">
        <x:v>Architect (MIT) — AST/Tree-sitter/Repo Intelligence | oh-my-claudecode (MIT) — multiagentes/jobs/skills/router | Hermes — patterns; validar licença por versão</x:v>
      </x:c>
    </x:row>
    <x:row r="8" ht="62" customHeight="1">
      <x:c r="A8" s="14" t="n">
        <x:v>7</x:v>
      </x:c>
      <x:c r="B8" s="14" t="str">
        <x:v>Engenharia &amp; Arquitetura</x:v>
      </x:c>
      <x:c r="C8" s="14" t="str">
        <x:v>Contratos</x:v>
      </x:c>
      <x:c r="D8" s="14" t="str">
        <x:v>Chaveiro</x:v>
      </x:c>
      <x:c r="E8" s="14" t="str">
        <x:v>Agente de contratos</x:v>
      </x:c>
      <x:c r="F8" s="14" t="str">
        <x:v>Cria as portas do sistema: rotas, interfaces, schemas, auth e contratos.</x:v>
      </x:c>
      <x:c r="G8" s="14" t="str">
        <x:v>Define APIs, traits, schemas JSON, eventos, comandos, autenticação/autorização, versionamento de contrato e erros interoperáveis.</x:v>
      </x:c>
      <x:c r="H8" s="14" t="str">
        <x:v>PHX JSON, Phoenix IR, API specs, auth model, schema registry.</x:v>
      </x:c>
      <x:c r="I8" s="14" t="str">
        <x:v>Criar/congelar contratos, gerar schemas e testes de contrato.</x:v>
      </x:c>
      <x:c r="J8" s="14" t="str">
        <x:v>Após arquitetura aprovada ou ao integrar sistemas.</x:v>
      </x:c>
      <x:c r="K8" s="14" t="str">
        <x:v>ADR, domínio, requisitos e compatibilidade.</x:v>
      </x:c>
      <x:c r="L8" s="14" t="str">
        <x:v>Contratos versionados e testáveis.</x:v>
      </x:c>
      <x:c r="M8" s="14" t="str">
        <x:v>Não implementa regra de negócio principal.</x:v>
      </x:c>
      <x:c r="N8" s="14" t="str">
        <x:v>Johnson / Integration Test.</x:v>
      </x:c>
      <x:c r="O8" s="14" t="str">
        <x:v>Sob demanda</x:v>
      </x:c>
      <x:c r="P8" s="14" t="str">
        <x:v>Codex/Claude</x:v>
      </x:c>
      <x:c r="Q8" s="14" t="str">
        <x:v>Alta</x:v>
      </x:c>
      <x:c r="R8" s="14" t="str">
        <x:v>01a0e473-f607-777c-b4f3-12b3cc967d29</x:v>
      </x:c>
      <x:c r="S8" s="14" t="str">
        <x:v>F15 Skill Runtime + Memory/Context Engine | F16 Scheduler + Background Jobs | F17 Checkpoint + Rollback | F18 MCP + LSP Runtime | F19 Repo Intelligence / Tree-sitter | F22 Device Nodes | F23 Secret &amp; Credential Broker</x:v>
      </x:c>
      <x:c r="T8" s="14" t="str">
        <x:v>contract.schema.define</x:v>
      </x:c>
      <x:c r="U8" s="14" t="str">
        <x:v>Skills versionadas; promoção só após prova; Memory/Context sob escopo; Context Pack mínimo; Job UUIDv7 + lease/heartbeat/resume em PostgreSQL; Checkpoint manifest + hashes + rollback evidence</x:v>
      </x:c>
      <x:c r="V8" s="14" t="str">
        <x:v>agent.chaveiro.started / .completed / .failed + evidence.ledger.recorded</x:v>
      </x:c>
      <x:c r="W8" s="14" t="str">
        <x:v>Least privilege; writes policy-gated; evidência obrigatória; sem autoaprovação. Device input/screen exige autorização de sessão e logging. Credenciais via broker/leases; nunca em prompt.</x:v>
      </x:c>
      <x:c r="X8" s="14" t="str">
        <x:v>Architect (MIT) — AST/Tree-sitter/Repo Intelligence | oh-my-claudecode (MIT) — multiagentes/jobs/skills/router | Hermes — patterns; validar licença por versão</x:v>
      </x:c>
    </x:row>
    <x:row r="9" ht="62" customHeight="1">
      <x:c r="A9" s="14" t="n">
        <x:v>8</x:v>
      </x:c>
      <x:c r="B9" s="14" t="str">
        <x:v>Engenharia &amp; Arquitetura</x:v>
      </x:c>
      <x:c r="C9" s="14" t="str">
        <x:v>Desenvolvimento</x:v>
      </x:c>
      <x:c r="D9" s="14" t="str">
        <x:v>Johnson</x:v>
      </x:c>
      <x:c r="E9" s="14" t="str">
        <x:v>Agente implementador</x:v>
      </x:c>
      <x:c r="F9" s="14" t="str">
        <x:v>Implementa a feature no código de negócio conforme contratos e critérios aprovados.</x:v>
      </x:c>
      <x:c r="G9" s="14" t="str">
        <x:v>Escreve código Rust/PHX, integra componentes internos, trata erros, respeita ADRs, permissions e Definition of Done.</x:v>
      </x:c>
      <x:c r="H9" s="14" t="str">
        <x:v>Worktree, Cargo, editor, Context Pack, contratos, testes permitidos.</x:v>
      </x:c>
      <x:c r="I9" s="14" t="str">
        <x:v>Criar patch, compilar, executar testes locais, corrigir implementação.</x:v>
      </x:c>
      <x:c r="J9" s="14" t="str">
        <x:v>Task pronta para implementação.</x:v>
      </x:c>
      <x:c r="K9" s="14" t="str">
        <x:v>Escopo, ADR, contratos e critérios de aceite.</x:v>
      </x:c>
      <x:c r="L9" s="14" t="str">
        <x:v>Patch implementado e compilável.</x:v>
      </x:c>
      <x:c r="M9" s="14" t="str">
        <x:v>Não mergeia, não faz QA final e não autoaprova.</x:v>
      </x:c>
      <x:c r="N9" s="14" t="str">
        <x:v>Jones.</x:v>
      </x:c>
      <x:c r="O9" s="14" t="str">
        <x:v>Sob demanda</x:v>
      </x:c>
      <x:c r="P9" s="14" t="str">
        <x:v>Codex</x:v>
      </x:c>
      <x:c r="Q9" s="14" t="str">
        <x:v>Alta</x:v>
      </x:c>
      <x:c r="R9" s="14" t="str">
        <x:v>01a0e473-f608-7dd4-af8f-1c71de446420</x:v>
      </x:c>
      <x:c r="S9" s="14" t="str">
        <x:v>F15 Skill Runtime + Memory/Context Engine | F18 MCP + LSP Runtime | F19 Repo Intelligence / Tree-sitter | F22 Device Nodes</x:v>
      </x:c>
      <x:c r="T9" s="14" t="str">
        <x:v>code.implement</x:v>
      </x:c>
      <x:c r="U9" s="14" t="str">
        <x:v>Skills versionadas; promoção só após prova; Memory/Context sob escopo; Context Pack mínimo; Node/session state efêmero e pareado</x:v>
      </x:c>
      <x:c r="V9" s="14" t="str">
        <x:v>agent.johnson.started / .completed / .failed + evidence.ledger.recorded</x:v>
      </x:c>
      <x:c r="W9" s="14" t="str">
        <x:v>Least privilege; writes policy-gated; evidência obrigatória; sem autoaprovação. Device input/screen exige autorização de sessão e logging.</x:v>
      </x:c>
      <x:c r="X9" s="14" t="str">
        <x:v>Architect (MIT) — AST/Tree-sitter/Repo Intelligence | oh-my-claudecode (MIT) — multiagentes/jobs/skills/router | Hermes — patterns; validar licença por versão</x:v>
      </x:c>
    </x:row>
    <x:row r="10" ht="62" customHeight="1">
      <x:c r="A10" s="14" t="n">
        <x:v>9</x:v>
      </x:c>
      <x:c r="B10" s="14" t="str">
        <x:v>Engenharia &amp; Arquitetura</x:v>
      </x:c>
      <x:c r="C10" s="14" t="str">
        <x:v>Desenvolvimento</x:v>
      </x:c>
      <x:c r="D10" s="14" t="str">
        <x:v>Smith</x:v>
      </x:c>
      <x:c r="E10" s="14" t="str">
        <x:v>Agente de propagação</x:v>
      </x:c>
      <x:c r="F10" s="14" t="str">
        <x:v>Replica de forma consistente um padrão já definido em todos os pontos necessários.</x:v>
      </x:c>
      <x:c r="G10" s="14" t="str">
        <x:v>Localiza ocorrências, aplica refactor repetitivo, preserva semântica, atualiza imports/configs e garante consistência em massa.</x:v>
      </x:c>
      <x:c r="H10" s="14" t="str">
        <x:v>Code search, AST/search, patch-many, worktrees, test suite.</x:v>
      </x:c>
      <x:c r="I10" s="14" t="str">
        <x:v>Aplicar mudança massiva, gerar diff consolidado e rodar regressões.</x:v>
      </x:c>
      <x:c r="J10" s="14" t="str">
        <x:v>Mudança repetitiva já aprovada.</x:v>
      </x:c>
      <x:c r="K10" s="14" t="str">
        <x:v>Padrão fonte, escopo de arquivos e regras de exclusão.</x:v>
      </x:c>
      <x:c r="L10" s="14" t="str">
        <x:v>Patch massivo consistente e relatório de impacto.</x:v>
      </x:c>
      <x:c r="M10" s="14" t="str">
        <x:v>Não inventa novo padrão nem muda design sem Arquiteto.</x:v>
      </x:c>
      <x:c r="N10" s="14" t="str">
        <x:v>Jones / QA2.</x:v>
      </x:c>
      <x:c r="O10" s="14" t="str">
        <x:v>Sob demanda</x:v>
      </x:c>
      <x:c r="P10" s="14" t="str">
        <x:v>Codex/Ollama</x:v>
      </x:c>
      <x:c r="Q10" s="14" t="str">
        <x:v>Média</x:v>
      </x:c>
      <x:c r="R10" s="14" t="str">
        <x:v>01a0e473-f609-7168-9146-d774a9be6740</x:v>
      </x:c>
      <x:c r="S10" s="14" t="str">
        <x:v>F15 Skill Runtime + Memory/Context Engine | F19 Repo Intelligence / Tree-sitter | F22 Device Nodes</x:v>
      </x:c>
      <x:c r="T10" s="14" t="str">
        <x:v>code.refactor.bulk</x:v>
      </x:c>
      <x:c r="U10" s="14" t="str">
        <x:v>Skills versionadas; promoção só após prova; Memory/Context sob escopo; Context Pack mínimo; Node/session state efêmero e pareado</x:v>
      </x:c>
      <x:c r="V10" s="14" t="str">
        <x:v>agent.smith.started / .completed / .failed + evidence.ledger.recorded</x:v>
      </x:c>
      <x:c r="W10" s="14" t="str">
        <x:v>Sandbox por padrão; capabilities escopadas; sem secrets diretos. Device input/screen exige autorização de sessão e logging.</x:v>
      </x:c>
      <x:c r="X10" s="14" t="str">
        <x:v>Architect (MIT) — AST/Tree-sitter/Repo Intelligence | oh-my-claudecode (MIT) — multiagentes/jobs/skills/router | Hermes — patterns; validar licença por versão</x:v>
      </x:c>
    </x:row>
    <x:row r="11" ht="62" customHeight="1">
      <x:c r="A11" s="14" t="n">
        <x:v>10</x:v>
      </x:c>
      <x:c r="B11" s="14" t="str">
        <x:v>Engenharia &amp; Arquitetura</x:v>
      </x:c>
      <x:c r="C11" s="14" t="str">
        <x:v>Debug</x:v>
      </x:c>
      <x:c r="D11" s="14" t="str">
        <x:v>Brown</x:v>
      </x:c>
      <x:c r="E11" s="14" t="str">
        <x:v>Agente de investigação</x:v>
      </x:c>
      <x:c r="F11" s="14" t="str">
        <x:v>Investiga bugs, reproduz a falha e identifica a causa raiz antes da correção.</x:v>
      </x:c>
      <x:c r="G11" s="14" t="str">
        <x:v>Reproduz deterministamente, coleta logs/traces, faz bisect quando necessário, minimiza caso, diferencia sintoma de causa e documenta hipótese causal.</x:v>
      </x:c>
      <x:c r="H11" s="14" t="str">
        <x:v>Debugger, logs, Git history, test harness, profiler, sandbox.</x:v>
      </x:c>
      <x:c r="I11" s="14" t="str">
        <x:v>Reproduzir, isolar, produzir Root Cause Report e pedir teste de regressão.</x:v>
      </x:c>
      <x:c r="J11" s="14" t="str">
        <x:v>Bug, incidente ou comportamento inconsistente.</x:v>
      </x:c>
      <x:c r="K11" s="14" t="str">
        <x:v>Relato do bug, build afetado, telemetria e histórico.</x:v>
      </x:c>
      <x:c r="L11" s="14" t="str">
        <x:v>Reprodução confiável + causa raiz/evidência.</x:v>
      </x:c>
      <x:c r="M11" s="14" t="str">
        <x:v>Não corrige antes de reproduzir salvo emergência registrada.</x:v>
      </x:c>
      <x:c r="N11" s="14" t="str">
        <x:v>Jones cria teste vermelho; depois Johnson.</x:v>
      </x:c>
      <x:c r="O11" s="14" t="str">
        <x:v>Sob demanda</x:v>
      </x:c>
      <x:c r="P11" s="14" t="str">
        <x:v>Codex/Claude</x:v>
      </x:c>
      <x:c r="Q11" s="14" t="str">
        <x:v>Alta</x:v>
      </x:c>
      <x:c r="R11" s="14" t="str">
        <x:v>01a0e473-f60a-7901-a95b-af0de0b5123c</x:v>
      </x:c>
      <x:c r="S11" s="14" t="str">
        <x:v>F15 Skill Runtime + Memory/Context Engine | F18 MCP + LSP Runtime | F19 Repo Intelligence / Tree-sitter | F22 Device Nodes | F25 Knowledge / Evidence Graph</x:v>
      </x:c>
      <x:c r="T11" s="14" t="str">
        <x:v>debug.root_cause</x:v>
      </x:c>
      <x:c r="U11" s="14" t="str">
        <x:v>Skills versionadas; promoção só após prova; Memory/Context sob escopo; Context Pack mínimo; Node/session state efêmero e pareado; Knowledge/Evidence Graph com proveniência</x:v>
      </x:c>
      <x:c r="V11" s="14" t="str">
        <x:v>agent.brown.started / .completed / .failed + evidence.ledger.recorded</x:v>
      </x:c>
      <x:c r="W11" s="14" t="str">
        <x:v>Least privilege; writes policy-gated; evidência obrigatória; sem autoaprovação. Device input/screen exige autorização de sessão e logging.</x:v>
      </x:c>
      <x:c r="X11" s="14" t="str">
        <x:v>Architect (MIT) — AST/Tree-sitter/Repo Intelligence | oh-my-claudecode (MIT) — multiagentes/jobs/skills/router | Hermes — patterns; validar licença por versão</x:v>
      </x:c>
    </x:row>
    <x:row r="12" ht="62" customHeight="1">
      <x:c r="A12" s="14" t="n">
        <x:v>11</x:v>
      </x:c>
      <x:c r="B12" s="14" t="str">
        <x:v>Qualidade &amp; Provas</x:v>
      </x:c>
      <x:c r="C12" s="14" t="str">
        <x:v>Teste</x:v>
      </x:c>
      <x:c r="D12" s="14" t="str">
        <x:v>Jones</x:v>
      </x:c>
      <x:c r="E12" s="14" t="str">
        <x:v>Agente líder de testes</x:v>
      </x:c>
      <x:c r="F12" s="14" t="str">
        <x:v>Escreve e executa testes para interceptar regressões e validar critérios objetivos.</x:v>
      </x:c>
      <x:c r="G12" s="14" t="str">
        <x:v>Transforma requisitos e bugs em testes, coordena subagentes de teste e mantém suíte confiável, determinística e relevante.</x:v>
      </x:c>
      <x:c r="H12" s="14" t="str">
        <x:v>Cargo test/nextest, fixtures, Playwright, fuzzers, test DB.</x:v>
      </x:c>
      <x:c r="I12" s="14" t="str">
        <x:v>Criar testes, rodar suites, bloquear regressão, registrar evidência.</x:v>
      </x:c>
      <x:c r="J12" s="14" t="str">
        <x:v>Após implementação, bug reproduzido ou novo requisito.</x:v>
      </x:c>
      <x:c r="K12" s="14" t="str">
        <x:v>Acceptance Criteria, Root Cause, contratos e patch.</x:v>
      </x:c>
      <x:c r="L12" s="14" t="str">
        <x:v>Test report, regression tests e evidências.</x:v>
      </x:c>
      <x:c r="M12" s="14" t="str">
        <x:v>Não altera código de produção para fazer teste passar.</x:v>
      </x:c>
      <x:c r="N12" s="14" t="str">
        <x:v>Thompson / QA1.</x:v>
      </x:c>
      <x:c r="O12" s="14" t="str">
        <x:v>Sob demanda</x:v>
      </x:c>
      <x:c r="P12" s="14" t="str">
        <x:v>Codex/Ollama</x:v>
      </x:c>
      <x:c r="Q12" s="14" t="str">
        <x:v>Alta</x:v>
      </x:c>
      <x:c r="R12" s="14" t="str">
        <x:v>01a0e473-f60b-796a-a1ff-a164537cd755</x:v>
      </x:c>
      <x:c r="S12" s="14" t="str">
        <x:v>F22 Device Nodes</x:v>
      </x:c>
      <x:c r="T12" s="14" t="str">
        <x:v>quality.test.orchestrate</x:v>
      </x:c>
      <x:c r="U12" s="14" t="str">
        <x:v>Node/session state efêmero e pareado</x:v>
      </x:c>
      <x:c r="V12" s="14" t="str">
        <x:v>agent.jones.started / .completed / .failed + evidence.ledger.recorded</x:v>
      </x:c>
      <x:c r="W12" s="14" t="str">
        <x:v>Least privilege; writes policy-gated; evidência obrigatória; sem autoaprovação. Device input/screen exige autorização de sessão e logging.</x:v>
      </x:c>
      <x:c r="X12" s="14" t="str">
        <x:v>OpenClaw — gateway/nodes/channels; validar licença por versão | ZeroClaw — benchmark Rust/providers/tools</x:v>
      </x:c>
    </x:row>
    <x:row r="13" ht="62" customHeight="1">
      <x:c r="A13" s="14" t="n">
        <x:v>12</x:v>
      </x:c>
      <x:c r="B13" s="14" t="str">
        <x:v>Engenharia &amp; Arquitetura</x:v>
      </x:c>
      <x:c r="C13" s="14" t="str">
        <x:v>Performance</x:v>
      </x:c>
      <x:c r="D13" s="14" t="str">
        <x:v>Jackson</x:v>
      </x:c>
      <x:c r="E13" s="14" t="str">
        <x:v>Agente de performance</x:v>
      </x:c>
      <x:c r="F13" s="14" t="str">
        <x:v>Encontra hot paths e reduz CPU, I/O, memória e latência com prova mensurável.</x:v>
      </x:c>
      <x:c r="G13" s="14" t="str">
        <x:v>Cria baseline, perfila, identifica gargalo, propõe otimização, mede before/after e verifica trade-offs.</x:v>
      </x:c>
      <x:c r="H13" s="14" t="str">
        <x:v>Criterion, perf, flamegraph, hyperfine, ETW/WPR, métricas.</x:v>
      </x:c>
      <x:c r="I13" s="14" t="str">
        <x:v>Medir, perfilar, propor e validar otimizações.</x:v>
      </x:c>
      <x:c r="J13" s="14" t="str">
        <x:v>Regressão de performance, metas de SLO ou módulo crítico.</x:v>
      </x:c>
      <x:c r="K13" s="14" t="str">
        <x:v>Benchmarks, telemetria e patch candidato.</x:v>
      </x:c>
      <x:c r="L13" s="14" t="str">
        <x:v>Relatório before/after e recomendação.</x:v>
      </x:c>
      <x:c r="M13" s="14" t="str">
        <x:v>Não aceita melhoria sem números reproduzíveis.</x:v>
      </x:c>
      <x:c r="N13" s="14" t="str">
        <x:v>Performance Test / QA2.</x:v>
      </x:c>
      <x:c r="O13" s="14" t="str">
        <x:v>Sob demanda</x:v>
      </x:c>
      <x:c r="P13" s="14" t="str">
        <x:v>Codex/Claude</x:v>
      </x:c>
      <x:c r="Q13" s="14" t="str">
        <x:v>Alta</x:v>
      </x:c>
      <x:c r="R13" s="14" t="str">
        <x:v>01a0e473-f60c-7cce-90e3-302e5f81e9fa</x:v>
      </x:c>
      <x:c r="S13" s="14" t="str">
        <x:v>F15 Skill Runtime + Memory/Context Engine | F19 Repo Intelligence / Tree-sitter | F22 Device Nodes</x:v>
      </x:c>
      <x:c r="T13" s="14" t="str">
        <x:v>performance.profile</x:v>
      </x:c>
      <x:c r="U13" s="14" t="str">
        <x:v>Skills versionadas; promoção só após prova; Memory/Context sob escopo; Context Pack mínimo; Node/session state efêmero e pareado</x:v>
      </x:c>
      <x:c r="V13" s="14" t="str">
        <x:v>agent.jackson.started / .completed / .failed + evidence.ledger.recorded</x:v>
      </x:c>
      <x:c r="W13" s="14" t="str">
        <x:v>Least privilege; writes policy-gated; evidência obrigatória; sem autoaprovação. Device input/screen exige autorização de sessão e logging.</x:v>
      </x:c>
      <x:c r="X13" s="14" t="str">
        <x:v>Architect (MIT) — AST/Tree-sitter/Repo Intelligence | oh-my-claudecode (MIT) — multiagentes/jobs/skills/router | Hermes — patterns; validar licença por versão</x:v>
      </x:c>
    </x:row>
    <x:row r="14" ht="62" customHeight="1">
      <x:c r="A14" s="14" t="n">
        <x:v>13</x:v>
      </x:c>
      <x:c r="B14" s="14" t="str">
        <x:v>Segurança &amp; Compliance</x:v>
      </x:c>
      <x:c r="C14" s="14" t="str">
        <x:v>Segurança</x:v>
      </x:c>
      <x:c r="D14" s="14" t="str">
        <x:v>Thompson</x:v>
      </x:c>
      <x:c r="E14" s="14" t="str">
        <x:v>Agente de segurança de código</x:v>
      </x:c>
      <x:c r="F14" s="14" t="str">
        <x:v>Revisa segurança e bloqueia vulnerabilidades antes do merge.</x:v>
      </x:c>
      <x:c r="G14" s="14" t="str">
        <x:v>Analisa diff, auth, input validation, unsafe, secrets, SQL, filesystem, network, criptografia e superfícies expostas.</x:v>
      </x:c>
      <x:c r="H14" s="14" t="str">
        <x:v>SAST, dependency audit, diff, threat models, test tools.</x:v>
      </x:c>
      <x:c r="I14" s="14" t="str">
        <x:v>Revisar, abrir findings, bloquear merge e exigir correção.</x:v>
      </x:c>
      <x:c r="J14" s="14" t="str">
        <x:v>Toda feature com superfície relevante; obrigatório antes de release.</x:v>
      </x:c>
      <x:c r="K14" s="14" t="str">
        <x:v>Patch, contratos, permissions e threat model.</x:v>
      </x:c>
      <x:c r="L14" s="14" t="str">
        <x:v>Security review e gate PASS/FAIL.</x:v>
      </x:c>
      <x:c r="M14" s="14" t="str">
        <x:v>Não implementa a mesma feature que revisa.</x:v>
      </x:c>
      <x:c r="N14" s="14" t="str">
        <x:v>Perséfone / QA.</x:v>
      </x:c>
      <x:c r="O14" s="14" t="str">
        <x:v>Sob demanda</x:v>
      </x:c>
      <x:c r="P14" s="14" t="str">
        <x:v>Claude</x:v>
      </x:c>
      <x:c r="Q14" s="14" t="str">
        <x:v>Crítica</x:v>
      </x:c>
      <x:c r="R14" s="14" t="str">
        <x:v>01a0e473-f60d-761f-b597-a103db46e3df</x:v>
      </x:c>
      <x:c r="S14" s="14" t="str">
        <x:v>F15 Skill Runtime + Memory/Context Engine | F23 Secret &amp; Credential Broker</x:v>
      </x:c>
      <x:c r="T14" s="14" t="str">
        <x:v>security.code.review</x:v>
      </x:c>
      <x:c r="U14" s="14" t="str">
        <x:v>Skills versionadas; promoção só após prova; Memory/Context sob escopo; Context Pack mínimo; Somente metadados de segredo; valores nunca em prompt/log</x:v>
      </x:c>
      <x:c r="V14" s="14" t="str">
        <x:v>agent.thompson.started / .completed / .failed + evidence.ledger.recorded</x:v>
      </x:c>
      <x:c r="W14" s="14" t="str">
        <x:v>Least privilege; write sensível, gasto, publicação, privilégio ou ação destrutiva exigem gate explícito. Credenciais via broker/leases; nunca em prompt.</x:v>
      </x:c>
      <x:c r="X14" s="14" t="str">
        <x:v>oh-my-claudecode (MIT) — multiagentes/jobs/skills/router | Hermes — patterns; validar licença por versão | OpenClaw — gateway/nodes/channels; validar licença por versão</x:v>
      </x:c>
    </x:row>
    <x:row r="15" ht="62" customHeight="1">
      <x:c r="A15" s="14" t="n">
        <x:v>14</x:v>
      </x:c>
      <x:c r="B15" s="14" t="str">
        <x:v>Engenharia &amp; Arquitetura</x:v>
      </x:c>
      <x:c r="C15" s="14" t="str">
        <x:v>Integração</x:v>
      </x:c>
      <x:c r="D15" s="14" t="str">
        <x:v>Trinity</x:v>
      </x:c>
      <x:c r="E15" s="14" t="str">
        <x:v>Agente de integração crítica</x:v>
      </x:c>
      <x:c r="F15" s="14" t="str">
        <x:v>Garante que módulos isoladamente corretos funcionem juntos ponta a ponta.</x:v>
      </x:c>
      <x:c r="G15" s="14" t="str">
        <x:v>Integra Studio, Runtime, IR, WASM, dados, plugins e infraestrutura; resolve incompatibilidades de boundary e coordena mudanças cross-module.</x:v>
      </x:c>
      <x:c r="H15" s="14" t="str">
        <x:v>Multi-worktree, integration environments, APIs, runtime, CI.</x:v>
      </x:c>
      <x:c r="I15" s="14" t="str">
        <x:v>Integrar, reproduzir fluxos completos, coordenar patches cross-stack.</x:v>
      </x:c>
      <x:c r="J15" s="14" t="str">
        <x:v>Integração crítica ou missão de alto risco.</x:v>
      </x:c>
      <x:c r="K15" s="14" t="str">
        <x:v>Artefatos de vários módulos e contratos.</x:v>
      </x:c>
      <x:c r="L15" s="14" t="str">
        <x:v>Integration Proof e patch de integração.</x:v>
      </x:c>
      <x:c r="M15" s="14" t="str">
        <x:v>Não substitui QA/OPA e não autoaprova.</x:v>
      </x:c>
      <x:c r="N15" s="14" t="str">
        <x:v>Jones/QA2/OPA.</x:v>
      </x:c>
      <x:c r="O15" s="14" t="str">
        <x:v>Sob demanda</x:v>
      </x:c>
      <x:c r="P15" s="14" t="str">
        <x:v>Codex/Claude</x:v>
      </x:c>
      <x:c r="Q15" s="14" t="str">
        <x:v>Crítica</x:v>
      </x:c>
      <x:c r="R15" s="14" t="str">
        <x:v>01a0e473-f60e-7349-8ef7-425daf15e0ed</x:v>
      </x:c>
      <x:c r="S15" s="14" t="str">
        <x:v>F15 Skill Runtime + Memory/Context Engine | F18 MCP + LSP Runtime | F19 Repo Intelligence / Tree-sitter | F22 Device Nodes | F25 Knowledge / Evidence Graph</x:v>
      </x:c>
      <x:c r="T15" s="14" t="str">
        <x:v>integration.critical</x:v>
      </x:c>
      <x:c r="U15" s="14" t="str">
        <x:v>Skills versionadas; promoção só após prova; Memory/Context sob escopo; Context Pack mínimo; Node/session state efêmero e pareado; Knowledge/Evidence Graph com proveniência</x:v>
      </x:c>
      <x:c r="V15" s="14" t="str">
        <x:v>agent.trinity.started / .completed / .failed + evidence.ledger.recorded</x:v>
      </x:c>
      <x:c r="W15" s="14" t="str">
        <x:v>Least privilege; write sensível, gasto, publicação, privilégio ou ação destrutiva exigem gate explícito. Device input/screen exige autorização de sessão e logging.</x:v>
      </x:c>
      <x:c r="X15" s="14" t="str">
        <x:v>Architect (MIT) — AST/Tree-sitter/Repo Intelligence | oh-my-claudecode (MIT) — multiagentes/jobs/skills/router | Hermes — patterns; validar licença por versão</x:v>
      </x:c>
    </x:row>
    <x:row r="16" ht="62" customHeight="1">
      <x:c r="A16" s="14" t="n">
        <x:v>15</x:v>
      </x:c>
      <x:c r="B16" s="14" t="str">
        <x:v>Engenharia &amp; Arquitetura</x:v>
      </x:c>
      <x:c r="C16" s="14" t="str">
        <x:v>Escalação</x:v>
      </x:c>
      <x:c r="D16" s="14" t="str">
        <x:v>Neo</x:v>
      </x:c>
      <x:c r="E16" s="14" t="str">
        <x:v>Agente de resolução excepcional</x:v>
      </x:c>
      <x:c r="F16" s="14" t="str">
        <x:v>Resolve problemas inéditos e bloqueios que o fluxo normal não conseguiu solucionar.</x:v>
      </x:c>
      <x:c r="G16" s="14" t="str">
        <x:v>Atua em refactors profundos, conflitos cross-stack, bugs difíceis e integrações inéditas com acesso ampliado e forte rastreabilidade.</x:v>
      </x:c>
      <x:c r="H16" s="14" t="str">
        <x:v>Repo amplo, ferramentas avançadas, sandboxes, Context Compiler completo.</x:v>
      </x:c>
      <x:c r="I16" s="14" t="str">
        <x:v>Investigar, propor solução excepcional, criar patch experimental e plano de recuperação.</x:v>
      </x:c>
      <x:c r="J16" s="14" t="str">
        <x:v>Falhas repetidas do fluxo normal e escalonamento de Morpheus/Oráculo.</x:v>
      </x:c>
      <x:c r="K16" s="14" t="str">
        <x:v>Root Cause, tentativas anteriores, ADRs e evidências.</x:v>
      </x:c>
      <x:c r="L16" s="14" t="str">
        <x:v>Solução candidata excepcional com provas.</x:v>
      </x:c>
      <x:c r="M16" s="14" t="str">
        <x:v>Nunca aprova a própria solução; acesso break-glass é temporário.</x:v>
      </x:c>
      <x:c r="N16" s="14" t="str">
        <x:v>Jones → Thompson → OPA → QA3.</x:v>
      </x:c>
      <x:c r="O16" s="14" t="str">
        <x:v>Excepcional</x:v>
      </x:c>
      <x:c r="P16" s="14" t="str">
        <x:v>Modelo mais forte disponível</x:v>
      </x:c>
      <x:c r="Q16" s="14" t="str">
        <x:v>Crítica</x:v>
      </x:c>
      <x:c r="R16" s="14" t="str">
        <x:v>01a0e473-f60f-7a87-bd13-b8cc594c0e63</x:v>
      </x:c>
      <x:c r="S16" s="14" t="str">
        <x:v>F15 Skill Runtime + Memory/Context Engine | F18 MCP + LSP Runtime | F19 Repo Intelligence / Tree-sitter | F21 Channel Gateway | F22 Device Nodes</x:v>
      </x:c>
      <x:c r="T16" s="14" t="str">
        <x:v>problem.exception.resolve</x:v>
      </x:c>
      <x:c r="U16" s="14" t="str">
        <x:v>Skills versionadas; promoção só após prova; Memory/Context sob escopo; Context Pack mínimo; Session/channel state sem credencial no contexto; Node/session state efêmero e pareado</x:v>
      </x:c>
      <x:c r="V16" s="14" t="str">
        <x:v>agent.neo.started / .completed / .failed + evidence.ledger.recorded</x:v>
      </x:c>
      <x:c r="W16" s="14" t="str">
        <x:v>Least privilege; write sensível, gasto, publicação, privilégio ou ação destrutiva exigem gate explícito. Device input/screen exige autorização de sessão e logging.</x:v>
      </x:c>
      <x:c r="X16" s="14" t="str">
        <x:v>Architect (MIT) — AST/Tree-sitter/Repo Intelligence | oh-my-claudecode (MIT) — multiagentes/jobs/skills/router | Hermes — patterns; validar licença por versão</x:v>
      </x:c>
    </x:row>
    <x:row r="17" ht="62" customHeight="1">
      <x:c r="A17" s="14" t="n">
        <x:v>16</x:v>
      </x:c>
      <x:c r="B17" s="14" t="str">
        <x:v>Dados &amp; Integrações</x:v>
      </x:c>
      <x:c r="C17" s="14" t="str">
        <x:v>Vendor/Legado</x:v>
      </x:c>
      <x:c r="D17" s="14" t="str">
        <x:v>Merovíngio</x:v>
      </x:c>
      <x:c r="E17" s="14" t="str">
        <x:v>Agente de isolamento externo</x:v>
      </x:c>
      <x:c r="F17" s="14" t="str">
        <x:v>Isola vendor, API externa e legado para evitar contaminação arquitetural.</x:v>
      </x:c>
      <x:c r="G17" s="14" t="str">
        <x:v>Cria adapters, anti-corruption layers, normaliza contratos, trata versões externas e define fallback/limites.</x:v>
      </x:c>
      <x:c r="H17" s="14" t="str">
        <x:v>External APIs, SDKs, legacy repos, plugin interfaces.</x:v>
      </x:c>
      <x:c r="I17" s="14" t="str">
        <x:v>Criar adapter, mapear contrato, encapsular dependência, testar degradação.</x:v>
      </x:c>
      <x:c r="J17" s="14" t="str">
        <x:v>Nova dependência externa, vendor ou legado.</x:v>
      </x:c>
      <x:c r="K17" s="14" t="str">
        <x:v>Contrato externo, licença e requisitos Phoenix.</x:v>
      </x:c>
      <x:c r="L17" s="14" t="str">
        <x:v>Adapter Phoenix + testes + risco de dependência.</x:v>
      </x:c>
      <x:c r="M17" s="14" t="str">
        <x:v>Não permite tipos/contratos externos vazarem para API pública Phoenix.</x:v>
      </x:c>
      <x:c r="N17" s="14" t="str">
        <x:v>Integration/Compatibility.</x:v>
      </x:c>
      <x:c r="O17" s="14" t="str">
        <x:v>Sob demanda</x:v>
      </x:c>
      <x:c r="P17" s="14" t="str">
        <x:v>Codex/Claude</x:v>
      </x:c>
      <x:c r="Q17" s="14" t="str">
        <x:v>Alta</x:v>
      </x:c>
      <x:c r="R17" s="14" t="str">
        <x:v>01a0e473-f610-77ff-b82c-aaa004721899</x:v>
      </x:c>
      <x:c r="S17" s="14" t="str">
        <x:v>F15 Skill Runtime + Memory/Context Engine | F18 MCP + LSP Runtime | F19 Repo Intelligence / Tree-sitter | F21 Channel Gateway | F22 Device Nodes | F25 Knowledge / Evidence Graph</x:v>
      </x:c>
      <x:c r="T17" s="14" t="str">
        <x:v>legacy.vendor.isolate</x:v>
      </x:c>
      <x:c r="U17" s="14" t="str">
        <x:v>Skills versionadas; promoção só após prova; Memory/Context sob escopo; Context Pack mínimo; Session/channel state sem credencial no contexto; Node/session state efêmero e pareado</x:v>
      </x:c>
      <x:c r="V17" s="14" t="str">
        <x:v>agent.merovingio.started / .completed / .failed + evidence.ledger.recorded</x:v>
      </x:c>
      <x:c r="W17" s="14" t="str">
        <x:v>Least privilege; writes policy-gated; evidência obrigatória; sem autoaprovação. Device input/screen exige autorização de sessão e logging.</x:v>
      </x:c>
      <x:c r="X17" s="14" t="str">
        <x:v>Architect (MIT) — AST/Tree-sitter/Repo Intelligence | oh-my-claudecode (MIT) — multiagentes/jobs/skills/router | Hermes — patterns; validar licença por versão</x:v>
      </x:c>
    </x:row>
    <x:row r="18" ht="62" customHeight="1">
      <x:c r="A18" s="14" t="n">
        <x:v>17</x:v>
      </x:c>
      <x:c r="B18" s="14" t="str">
        <x:v>Qualidade &amp; Provas</x:v>
      </x:c>
      <x:c r="C18" s="14" t="str">
        <x:v>Documentação</x:v>
      </x:c>
      <x:c r="D18" s="14" t="str">
        <x:v>Perséfone</x:v>
      </x:c>
      <x:c r="E18" s="14" t="str">
        <x:v>Agente de verdade documental</x:v>
      </x:c>
      <x:c r="F18" s="14" t="str">
        <x:v>Documenta a decisão e o que o código faz de fato.</x:v>
      </x:c>
      <x:c r="G18" s="14" t="str">
        <x:v>Compara intenção, ADR e implementação; registra comportamento real, limitações, divergências e pontos não implementados.</x:v>
      </x:c>
      <x:c r="H18" s="14" t="str">
        <x:v>Diff, código, ADRs, testes, Evidence Graph. | Rust Official Source Registry: rust-lang.org; doc.rust-lang.org; play.rust-lang.org; github.com/rust-lang; rustup.rs; crates.io; Rust Book; std; Rust By Example; Rustonomicon; Rust Reference. Snapshot local via rustup/rust-docs em knowledge/offline/rust.</x:v>
      </x:c>
      <x:c r="I18" s="14" t="str">
        <x:v>Atualizar docs reais, marcar mismatch e bloquear documentação enganosa. | Consultar help Rust offline/local, validar exemplos/API contra versão pinada e escalar para fonte online oficial quando necessário.</x:v>
      </x:c>
      <x:c r="J18" s="14" t="str">
        <x:v>Após implementação relevante.</x:v>
      </x:c>
      <x:c r="K18" s="14" t="str">
        <x:v>Patch aprovado tecnicamente e decisões. | Source Registry rust-official + índice offline local</x:v>
      </x:c>
      <x:c r="L18" s="14" t="str">
        <x:v>Documentação factual sincronizada.</x:v>
      </x:c>
      <x:c r="M18" s="14" t="str">
        <x:v>Não mascara divergência entre requisito e código.</x:v>
      </x:c>
      <x:c r="N18" s="14" t="str">
        <x:v>Documentador / QA2.</x:v>
      </x:c>
      <x:c r="O18" s="14" t="str">
        <x:v>Sob demanda</x:v>
      </x:c>
      <x:c r="P18" s="14" t="str">
        <x:v>Ollama/Claude</x:v>
      </x:c>
      <x:c r="Q18" s="14" t="str">
        <x:v>Alta</x:v>
      </x:c>
      <x:c r="R18" s="14" t="str">
        <x:v>01a0e473-f611-72bf-b507-5b0637df19bd</x:v>
      </x:c>
      <x:c r="S18" s="14" t="str">
        <x:v>F15 Skill Runtime + Memory/Context Engine | F20 Team Runtime | F25 Knowledge / Evidence Graph</x:v>
      </x:c>
      <x:c r="T18" s="14" t="str">
        <x:v>documentation.truth.sync</x:v>
      </x:c>
      <x:c r="U18" s="14" t="str">
        <x:v>Skills versionadas; promoção só após prova; Memory/Context sob escopo; Context Pack mínimo; Knowledge/Evidence Graph com proveniência | Rust docs snapshot versionado em knowledge/offline/rust; Context Pack registra versão/source hash</x:v>
      </x:c>
      <x:c r="V18" s="14" t="str">
        <x:v>agent.persefone.started / .completed / .failed + evidence.ledger.recorded</x:v>
      </x:c>
      <x:c r="W18" s="14" t="str">
        <x:v>Least privilege; writes policy-gated; evidência obrigatória; sem autoaprovação. Acesso permitido a rust-official com capability knowledge.rust.read; prioridade local-first para conhecimento estável, online oficial quando frescor/release atual for necessário; toda consulta registra UUIDv7, fonte, versão/data e Evidence Ledger.</x:v>
      </x:c>
      <x:c r="X18" s="14" t="str">
        <x:v>oh-my-claudecode (MIT) — multiagentes/jobs/skills/router | Hermes — patterns; validar licença por versão | ZeroClaw — benchmark Rust/providers/tools | Rust oficial: https://www.rust-lang.org/ | https://doc.rust-lang.org/ | https://github.com/rust-lang | https://rustup.rs/ | https://crates.io/</x:v>
      </x:c>
    </x:row>
    <x:row r="19" ht="62" customHeight="1">
      <x:c r="A19" s="14" t="n">
        <x:v>18</x:v>
      </x:c>
      <x:c r="B19" s="14" t="str">
        <x:v>Qualidade &amp; Provas</x:v>
      </x:c>
      <x:c r="C19" s="14" t="str">
        <x:v>Documentação</x:v>
      </x:c>
      <x:c r="D19" s="14" t="str">
        <x:v>Documentador</x:v>
      </x:c>
      <x:c r="E19" s="14" t="str">
        <x:v>Agente de documentação</x:v>
      </x:c>
      <x:c r="F19" s="14" t="str">
        <x:v>Produz documentação técnica e de usuário completa e navegável.</x:v>
      </x:c>
      <x:c r="G19" s="14" t="str">
        <x:v>Cria API docs, exemplos, tutoriais, runbooks, guias de migração, changelogs explicativos e índices.</x:v>
      </x:c>
      <x:c r="H19" s="14" t="str">
        <x:v>Código, Perséfone, ADRs, examples, release notes. | Rust Official Source Registry: rust-lang.org; doc.rust-lang.org; play.rust-lang.org; github.com/rust-lang; rustup.rs; crates.io; Rust Book; std; Rust By Example; Rustonomicon; Rust Reference. Snapshot local via rustup/rust-docs em knowledge/offline/rust.</x:v>
      </x:c>
      <x:c r="I19" s="14" t="str">
        <x:v>Escrever, atualizar, validar links/exemplos e organizar documentação. | Consultar help Rust offline/local, validar exemplos/API contra versão pinada e escalar para fonte online oficial quando necessário.</x:v>
      </x:c>
      <x:c r="J19" s="14" t="str">
        <x:v>Feature/release pronta para documentação.</x:v>
      </x:c>
      <x:c r="K19" s="14" t="str">
        <x:v>Comportamento real confirmado e artifacts. | Source Registry rust-official + índice offline local</x:v>
      </x:c>
      <x:c r="L19" s="14" t="str">
        <x:v>Pacote documental completo.</x:v>
      </x:c>
      <x:c r="M19" s="14" t="str">
        <x:v>Não substitui Perséfone nem QA.</x:v>
      </x:c>
      <x:c r="N19" s="14" t="str">
        <x:v>Documentation Gate / Release.</x:v>
      </x:c>
      <x:c r="O19" s="14" t="str">
        <x:v>Sob demanda</x:v>
      </x:c>
      <x:c r="P19" s="14" t="str">
        <x:v>Ollama</x:v>
      </x:c>
      <x:c r="Q19" s="14" t="str">
        <x:v>Média</x:v>
      </x:c>
      <x:c r="R19" s="14" t="str">
        <x:v>01a0e473-f612-770e-83ad-6e25803412ba</x:v>
      </x:c>
      <x:c r="S19" s="14" t="str">
        <x:v>F15 Skill Runtime + Memory/Context Engine | F18 MCP + LSP Runtime | F22 Device Nodes | F25 Knowledge / Evidence Graph</x:v>
      </x:c>
      <x:c r="T19" s="14" t="str">
        <x:v>documentation.generate</x:v>
      </x:c>
      <x:c r="U19" s="14" t="str">
        <x:v>Skills versionadas; promoção só após prova; Memory/Context sob escopo; Context Pack mínimo; Node/session state efêmero e pareado; Knowledge/Evidence Graph com proveniência | Rust docs snapshot versionado em knowledge/offline/rust; Context Pack registra versão/source hash</x:v>
      </x:c>
      <x:c r="V19" s="14" t="str">
        <x:v>agent.documentador.started / .completed / .failed + evidence.ledger.recorded</x:v>
      </x:c>
      <x:c r="W19" s="14" t="str">
        <x:v>Sandbox por padrão; capabilities escopadas; sem secrets diretos. Device input/screen exige autorização de sessão e logging. Acesso permitido a rust-official com capability knowledge.rust.read; prioridade local-first para conhecimento estável, online oficial quando frescor/release atual for necessário; toda consulta registra UUIDv7, fonte, versão/data e Evidence Ledger.</x:v>
      </x:c>
      <x:c r="X19" s="14" t="str">
        <x:v>oh-my-claudecode (MIT) — multiagentes/jobs/skills/router | Hermes — patterns; validar licença por versão | OpenClaw — gateway/nodes/channels; validar licença por versão | Rust oficial: https://www.rust-lang.org/ | https://doc.rust-lang.org/ | https://github.com/rust-lang | https://rustup.rs/ | https://crates.io/</x:v>
      </x:c>
    </x:row>
    <x:row r="20" ht="62" customHeight="1">
      <x:c r="A20" s="14" t="n">
        <x:v>19</x:v>
      </x:c>
      <x:c r="B20" s="14" t="str">
        <x:v>Pesquisa &amp; Inovação</x:v>
      </x:c>
      <x:c r="C20" s="14" t="str">
        <x:v>Pesquisa</x:v>
      </x:c>
      <x:c r="D20" s="14" t="str">
        <x:v>Research Lead / Pesquisador PDCA</x:v>
      </x:c>
      <x:c r="E20" s="14" t="str">
        <x:v>Agente líder de pesquisa</x:v>
      </x:c>
      <x:c r="F20" s="14" t="str">
        <x:v>Coordena pesquisas, fontes e ciclo PDCA de descoberta técnica.</x:v>
      </x:c>
      <x:c r="G20" s="14" t="str">
        <x:v>Decompõe perguntas, delega pesquisas, compara fontes, identifica lacunas, atualiza radar tecnológico e fecha ciclo Plan-Do-Check-Act.</x:v>
      </x:c>
      <x:c r="H20" s="14" t="str">
        <x:v>Web, papers, repos oficiais, Source Registry, Evidence Graph. | Rust Official Source Registry: rust-lang.org; doc.rust-lang.org; play.rust-lang.org; github.com/rust-lang; rustup.rs; crates.io; Rust Book; std; Rust By Example; Rustonomicon; Rust Reference. Snapshot local via rustup/rust-docs em knowledge/offline/rust.</x:v>
      </x:c>
      <x:c r="I20" s="14" t="str">
        <x:v>Abrir research tasks, consolidar evidências, pedir hipótese ou RFC. | Consultar help Rust offline/local, validar exemplos/API contra versão pinada e escalar para fonte online oficial quando necessário.</x:v>
      </x:c>
      <x:c r="J20" s="14" t="str">
        <x:v>Nova tecnologia, dúvida arquitetural ou radar periódico.</x:v>
      </x:c>
      <x:c r="K20" s="14" t="str">
        <x:v>Questão de pesquisa e contexto do Phoenix. | Source Registry rust-official + índice offline local</x:v>
      </x:c>
      <x:c r="L20" s="14" t="str">
        <x:v>Evidence Matrix e recomendação de investigação.</x:v>
      </x:c>
      <x:c r="M20" s="14" t="str">
        <x:v>Não transforma novidade diretamente em feature.</x:v>
      </x:c>
      <x:c r="N20" s="14" t="str">
        <x:v>Hypothesis / Technology Harvest / Oráculo.</x:v>
      </x:c>
      <x:c r="O20" s="14" t="str">
        <x:v>Permanente</x:v>
      </x:c>
      <x:c r="P20" s="14" t="str">
        <x:v>Ollama/Claude</x:v>
      </x:c>
      <x:c r="Q20" s="14" t="str">
        <x:v>Alta</x:v>
      </x:c>
      <x:c r="R20" s="14" t="str">
        <x:v>01a0e473-f613-790f-be14-88850e521c18</x:v>
      </x:c>
      <x:c r="S20" s="14" t="str">
        <x:v>F15 Skill Runtime + Memory/Context Engine | F19 Repo Intelligence / Tree-sitter | F22 Device Nodes | F24 Auto-learning + Skill Evolution | F25 Knowledge / Evidence Graph</x:v>
      </x:c>
      <x:c r="T20" s="14" t="str">
        <x:v>research.orchestrate</x:v>
      </x:c>
      <x:c r="U20" s="14" t="str">
        <x:v>Skills versionadas; promoção só após prova; Memory/Context sob escopo; Context Pack mínimo; Node/session state efêmero e pareado; Candidate Skill → Hypothesis → OPA/QA → Registry | Rust docs snapshot versionado em knowledge/offline/rust; Context Pack registra versão/source hash</x:v>
      </x:c>
      <x:c r="V20" s="14" t="str">
        <x:v>agent.research.lead.pesquisador.pdca.started / .completed / .failed + evidence.ledger.recorded</x:v>
      </x:c>
      <x:c r="W20" s="14" t="str">
        <x:v>Least privilege; writes policy-gated; evidência obrigatória; sem autoaprovação. Device input/screen exige autorização de sessão e logging. Acesso permitido a rust-official com capability knowledge.rust.read; prioridade local-first para conhecimento estável, online oficial quando frescor/release atual for necessário; toda consulta registra UUIDv7, fonte, versão/data e Evidence Ledger.</x:v>
      </x:c>
      <x:c r="X20" s="14" t="str">
        <x:v>Architect (MIT) — AST/Tree-sitter/Repo Intelligence | oh-my-claudecode (MIT) — multiagentes/jobs/skills/router | Hermes — patterns; validar licença por versão | Rust oficial: https://www.rust-lang.org/ | https://doc.rust-lang.org/ | https://github.com/rust-lang | https://rustup.rs/ | https://crates.io/</x:v>
      </x:c>
    </x:row>
    <x:row r="21" ht="62" customHeight="1">
      <x:c r="A21" s="14" t="n">
        <x:v>20</x:v>
      </x:c>
      <x:c r="B21" s="14" t="str">
        <x:v>Pesquisa &amp; Inovação</x:v>
      </x:c>
      <x:c r="C21" s="14" t="str">
        <x:v>Pesquisa</x:v>
      </x:c>
      <x:c r="D21" s="14" t="str">
        <x:v>Research Agent</x:v>
      </x:c>
      <x:c r="E21" s="14" t="str">
        <x:v>Subagente pesquisador</x:v>
      </x:c>
      <x:c r="F21" s="14" t="str">
        <x:v>Pesquisa uma questão delimitada em fontes autorizadas e rastreáveis.</x:v>
      </x:c>
      <x:c r="G21" s="14" t="str">
        <x:v>Busca documentação, release notes, papers, issues e repos oficiais; registra data, licença, autoridade, contradições e confiança.</x:v>
      </x:c>
      <x:c r="H21" s="14" t="str">
        <x:v>Web, Git, Source Registry, bibliografia, Evidence Graph. | Rust Official Source Registry: rust-lang.org; doc.rust-lang.org; play.rust-lang.org; github.com/rust-lang; rustup.rs; crates.io; Rust Book; std; Rust By Example; Rustonomicon; Rust Reference. Snapshot local via rustup/rust-docs em knowledge/offline/rust.</x:v>
      </x:c>
      <x:c r="I21" s="14" t="str">
        <x:v>Pesquisar, comparar, citar, classificar confiança e sugerir hipóteses. | Consultar help Rust offline/local, validar exemplos/API contra versão pinada e escalar para fonte online oficial quando necessário.</x:v>
      </x:c>
      <x:c r="J21" s="14" t="str">
        <x:v>Task de pesquisa atribuída.</x:v>
      </x:c>
      <x:c r="K21" s="14" t="str">
        <x:v>Pergunta delimitada e política de fontes. | Source Registry rust-official + índice offline local</x:v>
      </x:c>
      <x:c r="L21" s="14" t="str">
        <x:v>Research Pack com fontes e confiança.</x:v>
      </x:c>
      <x:c r="M21" s="14" t="str">
        <x:v>Não implementa e não usa fonte não autorizada sem marcação.</x:v>
      </x:c>
      <x:c r="N21" s="14" t="str">
        <x:v>Research Lead / Hypothesis.</x:v>
      </x:c>
      <x:c r="O21" s="14" t="str">
        <x:v>Sob demanda</x:v>
      </x:c>
      <x:c r="P21" s="14" t="str">
        <x:v>Ollama</x:v>
      </x:c>
      <x:c r="Q21" s="14" t="str">
        <x:v>Média</x:v>
      </x:c>
      <x:c r="R21" s="14" t="str">
        <x:v>01a0e473-f614-70da-9cfb-4151c4cb515b</x:v>
      </x:c>
      <x:c r="S21" s="14" t="str">
        <x:v>F15 Skill Runtime + Memory/Context Engine | F17 Checkpoint + Rollback | F19 Repo Intelligence / Tree-sitter | F22 Device Nodes | F23 Secret &amp; Credential Broker | F24 Auto-learning + Skill Evolution | F25 Knowledge / Evidence Graph</x:v>
      </x:c>
      <x:c r="T21" s="14" t="str">
        <x:v>research.collect</x:v>
      </x:c>
      <x:c r="U21" s="14" t="str">
        <x:v>Skills versionadas; promoção só após prova; Memory/Context sob escopo; Context Pack mínimo; Checkpoint manifest + hashes + rollback evidence; Node/session state efêmero e pareado | Rust docs snapshot versionado em knowledge/offline/rust; Context Pack registra versão/source hash</x:v>
      </x:c>
      <x:c r="V21" s="14" t="str">
        <x:v>agent.research.agent.started / .completed / .failed + evidence.ledger.recorded</x:v>
      </x:c>
      <x:c r="W21" s="14" t="str">
        <x:v>Sandbox por padrão; capabilities escopadas; sem secrets diretos. Device input/screen exige autorização de sessão e logging. Credenciais via broker/leases; nunca em prompt. Acesso permitido a rust-official com capability knowledge.rust.read; prioridade local-first para conhecimento estável, online oficial quando frescor/release atual for necessário; toda consulta registra UUIDv7, fonte, versão/data e Evidence Ledger.</x:v>
      </x:c>
      <x:c r="X21" s="14" t="str">
        <x:v>Architect (MIT) — AST/Tree-sitter/Repo Intelligence | oh-my-claudecode (MIT) — multiagentes/jobs/skills/router | Hermes — patterns; validar licença por versão | Rust oficial: https://www.rust-lang.org/ | https://doc.rust-lang.org/ | https://github.com/rust-lang | https://rustup.rs/ | https://crates.io/</x:v>
      </x:c>
    </x:row>
    <x:row r="22" ht="62" customHeight="1">
      <x:c r="A22" s="14" t="n">
        <x:v>21</x:v>
      </x:c>
      <x:c r="B22" s="14" t="str">
        <x:v>Pesquisa &amp; Inovação</x:v>
      </x:c>
      <x:c r="C22" s="14" t="str">
        <x:v>Inovação</x:v>
      </x:c>
      <x:c r="D22" s="14" t="str">
        <x:v>Hypothesis Agent</x:v>
      </x:c>
      <x:c r="E22" s="14" t="str">
        <x:v>Agente de hipóteses</x:v>
      </x:c>
      <x:c r="F22" s="14" t="str">
        <x:v>Transforma descobertas, problemas e lacunas em hipóteses testáveis.</x:v>
      </x:c>
      <x:c r="G22" s="14" t="str">
        <x:v>Define afirmação, baseline, variável, experimento, critérios de confirmação/rejeição, riscos e evidências exigidas.</x:v>
      </x:c>
      <x:c r="H22" s="14" t="str">
        <x:v>Research Pack, benchmarks, sandbox, Evidence Graph.</x:v>
      </x:c>
      <x:c r="I22" s="14" t="str">
        <x:v>Criar Hypothesis UUIDv7, Experiment Plan e critérios mensuráveis.</x:v>
      </x:c>
      <x:c r="J22" s="14" t="str">
        <x:v>Pesquisa relevante, bug incerto ou oportunidade de melhoria.</x:v>
      </x:c>
      <x:c r="K22" s="14" t="str">
        <x:v>Evidências e problema claramente descrito.</x:v>
      </x:c>
      <x:c r="L22" s="14" t="str">
        <x:v>Hipótese versionada e plano de experimento.</x:v>
      </x:c>
      <x:c r="M22" s="14" t="str">
        <x:v>Não declara hipótese verdadeira sem experimento.</x:v>
      </x:c>
      <x:c r="N22" s="14" t="str">
        <x:v>Mouse/Potentials → OPA/Oráculo.</x:v>
      </x:c>
      <x:c r="O22" s="14" t="str">
        <x:v>Permanente</x:v>
      </x:c>
      <x:c r="P22" s="14" t="str">
        <x:v>Ollama/Claude</x:v>
      </x:c>
      <x:c r="Q22" s="14" t="str">
        <x:v>Alta</x:v>
      </x:c>
      <x:c r="R22" s="14" t="str">
        <x:v>01a0e473-f615-7bc6-b58e-ccc8c315be7a</x:v>
      </x:c>
      <x:c r="S22" s="14" t="str">
        <x:v>F15 Skill Runtime + Memory/Context Engine | F22 Device Nodes | F24 Auto-learning + Skill Evolution</x:v>
      </x:c>
      <x:c r="T22" s="14" t="str">
        <x:v>hypothesis.formulate</x:v>
      </x:c>
      <x:c r="U22" s="14" t="str">
        <x:v>Skills versionadas; promoção só após prova; Memory/Context sob escopo; Context Pack mínimo; Node/session state efêmero e pareado; Candidate Skill → Hypothesis → OPA/QA → Registry</x:v>
      </x:c>
      <x:c r="V22" s="14" t="str">
        <x:v>agent.hypothesis.agent.started / .completed / .failed + evidence.ledger.recorded</x:v>
      </x:c>
      <x:c r="W22" s="14" t="str">
        <x:v>Least privilege; writes policy-gated; evidência obrigatória; sem autoaprovação. Device input/screen exige autorização de sessão e logging.</x:v>
      </x:c>
      <x:c r="X22" s="14" t="str">
        <x:v>oh-my-claudecode (MIT) — multiagentes/jobs/skills/router | Hermes — patterns; validar licença por versão | OpenClaw — gateway/nodes/channels; validar licença por versão</x:v>
      </x:c>
    </x:row>
    <x:row r="23" ht="62" customHeight="1">
      <x:c r="A23" s="14" t="n">
        <x:v>22</x:v>
      </x:c>
      <x:c r="B23" s="14" t="str">
        <x:v>Pesquisa &amp; Inovação</x:v>
      </x:c>
      <x:c r="C23" s="14" t="str">
        <x:v>Inovação</x:v>
      </x:c>
      <x:c r="D23" s="14" t="str">
        <x:v>Technology Harvest</x:v>
      </x:c>
      <x:c r="E23" s="14" t="str">
        <x:v>Agente de colheita tecnológica</x:v>
      </x:c>
      <x:c r="F23" s="14" t="str">
        <x:v>Analisa tecnologias externas e extrai conceitos úteis ao Phoenix sem criar dependência arquitetural.</x:v>
      </x:c>
      <x:c r="G23" s="14" t="str">
        <x:v>Mapeia features, licenças, padrões, riscos, maturidade e classifica ADOTAR/ADAPTAR/REIMPLEMENTAR/DESCARTAR.</x:v>
      </x:c>
      <x:c r="H23" s="14" t="str">
        <x:v>Research, Licensor, repos, docs, benchmarks.</x:v>
      </x:c>
      <x:c r="I23" s="14" t="str">
        <x:v>Produzir Harvest Matrix, recomendar experimento/RFC.</x:v>
      </x:c>
      <x:c r="J23" s="14" t="str">
        <x:v>Nova tecnologia relevante ou revisão de stack.</x:v>
      </x:c>
      <x:c r="K23" s="14" t="str">
        <x:v>Research Packs e critérios Phoenix.</x:v>
      </x:c>
      <x:c r="L23" s="14" t="str">
        <x:v>Technology Harvest Report.</x:v>
      </x:c>
      <x:c r="M23" s="14" t="str">
        <x:v>Não copia código incompatível nem força adoção.</x:v>
      </x:c>
      <x:c r="N23" s="14" t="str">
        <x:v>Hypothesis / Arquiteto / Licensor.</x:v>
      </x:c>
      <x:c r="O23" s="14" t="str">
        <x:v>Permanente</x:v>
      </x:c>
      <x:c r="P23" s="14" t="str">
        <x:v>Ollama/Claude</x:v>
      </x:c>
      <x:c r="Q23" s="14" t="str">
        <x:v>Alta</x:v>
      </x:c>
      <x:c r="R23" s="14" t="str">
        <x:v>01a0e473-f616-784f-9b36-65d7a686fd41</x:v>
      </x:c>
      <x:c r="S23" s="14" t="str">
        <x:v>F15 Skill Runtime + Memory/Context Engine | F19 Repo Intelligence / Tree-sitter | F22 Device Nodes | F23 Secret &amp; Credential Broker | F24 Auto-learning + Skill Evolution</x:v>
      </x:c>
      <x:c r="T23" s="14" t="str">
        <x:v>technology.harvest</x:v>
      </x:c>
      <x:c r="U23" s="14" t="str">
        <x:v>Skills versionadas; promoção só após prova; Memory/Context sob escopo; Context Pack mínimo; Node/session state efêmero e pareado; Somente metadados de segredo; valores nunca em prompt/log</x:v>
      </x:c>
      <x:c r="V23" s="14" t="str">
        <x:v>agent.technology.harvest.started / .completed / .failed + evidence.ledger.recorded</x:v>
      </x:c>
      <x:c r="W23" s="14" t="str">
        <x:v>Least privilege; writes policy-gated; evidência obrigatória; sem autoaprovação. Device input/screen exige autorização de sessão e logging. Credenciais via broker/leases; nunca em prompt.</x:v>
      </x:c>
      <x:c r="X23" s="14" t="str">
        <x:v>Architect (MIT) — AST/Tree-sitter/Repo Intelligence | oh-my-claudecode (MIT) — multiagentes/jobs/skills/router | Hermes — patterns; validar licença por versão</x:v>
      </x:c>
    </x:row>
    <x:row r="24" ht="62" customHeight="1">
      <x:c r="A24" s="14" t="n">
        <x:v>23</x:v>
      </x:c>
      <x:c r="B24" s="14" t="str">
        <x:v>Pesquisa &amp; Inovação</x:v>
      </x:c>
      <x:c r="C24" s="14" t="str">
        <x:v>Rust</x:v>
      </x:c>
      <x:c r="D24" s="14" t="str">
        <x:v>Rust Evolution Agent</x:v>
      </x:c>
      <x:c r="E24" s="14" t="str">
        <x:v>Agente de evolução Rust</x:v>
      </x:c>
      <x:c r="F24" s="14" t="str">
        <x:v>Mantém o Phoenix atualizado com avanços estáveis do Rust.</x:v>
      </x:c>
      <x:c r="G24" s="14" t="str">
        <x:v>Monitora rustc, Cargo, std, targets, deprecações, performance e segurança; testa cada stable em laboratório antes de promover.</x:v>
      </x:c>
      <x:c r="H24" s="14" t="str">
        <x:v>Rust release notes, rustup, CI lab, benchmarks, Compatibility Matrix.</x:v>
      </x:c>
      <x:c r="I24" s="14" t="str">
        <x:v>Abrir upgrade branch, executar full suite, propor modernizações PhoenixRustCore.</x:v>
      </x:c>
      <x:c r="J24" s="14" t="str">
        <x:v>Nova versão Rust Stable ou advisory crítico.</x:v>
      </x:c>
      <x:c r="K24" s="14" t="str">
        <x:v>Toolchain atual, changelog e benchmarks.</x:v>
      </x:c>
      <x:c r="L24" s="14" t="str">
        <x:v>Rust Impact Report e decisão PROMOTE/HOLD.</x:v>
      </x:c>
      <x:c r="M24" s="14" t="str">
        <x:v>Nunca atualiza produção só por existir versão nova.</x:v>
      </x:c>
      <x:c r="N24" s="14" t="str">
        <x:v>Versionador / Guardian / PhoenixRustCore.</x:v>
      </x:c>
      <x:c r="O24" s="14" t="str">
        <x:v>Permanente</x:v>
      </x:c>
      <x:c r="P24" s="14" t="str">
        <x:v>Ollama/Codex</x:v>
      </x:c>
      <x:c r="Q24" s="14" t="str">
        <x:v>Alta</x:v>
      </x:c>
      <x:c r="R24" s="14" t="str">
        <x:v>01a0e473-f617-7985-8311-d75e0057d77c</x:v>
      </x:c>
      <x:c r="S24" s="14" t="str">
        <x:v>F15 Skill Runtime + Memory/Context Engine | F18 MCP + LSP Runtime | F22 Device Nodes | F23 Secret &amp; Credential Broker</x:v>
      </x:c>
      <x:c r="T24" s="14" t="str">
        <x:v>technology.rust.evaluate</x:v>
      </x:c>
      <x:c r="U24" s="14" t="str">
        <x:v>Skills versionadas; promoção só após prova; Memory/Context sob escopo; Context Pack mínimo; Node/session state efêmero e pareado; Somente metadados de segredo; valores nunca em prompt/log</x:v>
      </x:c>
      <x:c r="V24" s="14" t="str">
        <x:v>agent.rust.evolution.agent.started / .completed / .failed + evidence.ledger.recorded</x:v>
      </x:c>
      <x:c r="W24" s="14" t="str">
        <x:v>Least privilege; writes policy-gated; evidência obrigatória; sem autoaprovação. Device input/screen exige autorização de sessão e logging. Credenciais via broker/leases; nunca em prompt.</x:v>
      </x:c>
      <x:c r="X24" s="14" t="str">
        <x:v>oh-my-claudecode (MIT) — multiagentes/jobs/skills/router | Hermes — patterns; validar licença por versão | OpenClaw — gateway/nodes/channels; validar licença por versão</x:v>
      </x:c>
    </x:row>
    <x:row r="25" ht="62" customHeight="1">
      <x:c r="A25" s="14" t="n">
        <x:v>24</x:v>
      </x:c>
      <x:c r="B25" s="14" t="str">
        <x:v>Pesquisa &amp; Inovação</x:v>
      </x:c>
      <x:c r="C25" s="14" t="str">
        <x:v>WASM</x:v>
      </x:c>
      <x:c r="D25" s="14" t="str">
        <x:v>WASM Evolution Agent</x:v>
      </x:c>
      <x:c r="E25" s="14" t="str">
        <x:v>Agente de evolução WASM</x:v>
      </x:c>
      <x:c r="F25" s="14" t="str">
        <x:v>Monitora a evolução estável de WebAssembly e compatibilidade de browsers/targets.</x:v>
      </x:c>
      <x:c r="G25" s="14" t="str">
        <x:v>Acompanha WASM specs, wasm32 targets, interface types/component model quando estáveis, browser support e impacto em runtime.</x:v>
      </x:c>
      <x:c r="H25" s="14" t="str">
        <x:v>Specs oficiais, browser matrices, wasm-tools, CI.</x:v>
      </x:c>
      <x:c r="I25" s="14" t="str">
        <x:v>Executar compatibility lab e criar RFC de adoção.</x:v>
      </x:c>
      <x:c r="J25" s="14" t="str">
        <x:v>Nova capacidade WASM estável ou regressão.</x:v>
      </x:c>
      <x:c r="K25" s="14" t="str">
        <x:v>Backend atual e suites Web.</x:v>
      </x:c>
      <x:c r="L25" s="14" t="str">
        <x:v>WASM Impact/Compatibility Report.</x:v>
      </x:c>
      <x:c r="M25" s="14" t="str">
        <x:v>Não introduz feature experimental em produção sem gate.</x:v>
      </x:c>
      <x:c r="N25" s="14" t="str">
        <x:v>Compiler/WASM tests/Versionador.</x:v>
      </x:c>
      <x:c r="O25" s="14" t="str">
        <x:v>Permanente</x:v>
      </x:c>
      <x:c r="P25" s="14" t="str">
        <x:v>Ollama/Codex</x:v>
      </x:c>
      <x:c r="Q25" s="14" t="str">
        <x:v>Alta</x:v>
      </x:c>
      <x:c r="R25" s="14" t="str">
        <x:v>01a0e473-f618-7e89-ae35-cbefc100260c</x:v>
      </x:c>
      <x:c r="S25" s="14" t="str">
        <x:v>F15 Skill Runtime + Memory/Context Engine | F19 Repo Intelligence / Tree-sitter | F22 Device Nodes</x:v>
      </x:c>
      <x:c r="T25" s="14" t="str">
        <x:v>technology.wasm.evaluate</x:v>
      </x:c>
      <x:c r="U25" s="14" t="str">
        <x:v>Skills versionadas; promoção só após prova; Memory/Context sob escopo; Context Pack mínimo; Node/session state efêmero e pareado; Estado operacional persistente em PostgreSQL</x:v>
      </x:c>
      <x:c r="V25" s="14" t="str">
        <x:v>agent.wasm.evolution.agent.started / .completed / .failed + evidence.ledger.recorded</x:v>
      </x:c>
      <x:c r="W25" s="14" t="str">
        <x:v>Least privilege; writes policy-gated; evidência obrigatória; sem autoaprovação. Device input/screen exige autorização de sessão e logging.</x:v>
      </x:c>
      <x:c r="X25" s="14" t="str">
        <x:v>Architect (MIT) — AST/Tree-sitter/Repo Intelligence | oh-my-claudecode (MIT) — multiagentes/jobs/skills/router | Hermes — patterns; validar licença por versão</x:v>
      </x:c>
    </x:row>
    <x:row r="26" ht="62" customHeight="1">
      <x:c r="A26" s="14" t="n">
        <x:v>25</x:v>
      </x:c>
      <x:c r="B26" s="14" t="str">
        <x:v>Engenharia &amp; Arquitetura</x:v>
      </x:c>
      <x:c r="C26" s="14" t="str">
        <x:v>GPU</x:v>
      </x:c>
      <x:c r="D26" s="14" t="str">
        <x:v>WebGPU/GPU Agent</x:v>
      </x:c>
      <x:c r="E26" s="14" t="str">
        <x:v>Agente de GPU</x:v>
      </x:c>
      <x:c r="F26" s="14" t="str">
        <x:v>Desenvolve e mede a camada gráfica/compute multiplataforma.</x:v>
      </x:c>
      <x:c r="G26" s="14" t="str">
        <x:v>Trabalha com render graph, shaders, buffers, GPU compute, WebGPU/wgpu abstraction e compatibilidade DirectX/Vulkan/Metal/WebGPU.</x:v>
      </x:c>
      <x:c r="H26" s="14" t="str">
        <x:v>wgpu/WebGPU, profilers GPU, shader tools, benchmarks.</x:v>
      </x:c>
      <x:c r="I26" s="14" t="str">
        <x:v>Implementar backend, otimizar GPU, validar compatibilidade.</x:v>
      </x:c>
      <x:c r="J26" s="14" t="str">
        <x:v>Feature gráfica/compute ou gargalo GPU.</x:v>
      </x:c>
      <x:c r="K26" s="14" t="str">
        <x:v>Scene/Graphics requirements e target matrix.</x:v>
      </x:c>
      <x:c r="L26" s="14" t="str">
        <x:v>GPU backend + benchmark + compatibility evidence.</x:v>
      </x:c>
      <x:c r="M26" s="14" t="str">
        <x:v>Não expõe backend externo na API pública Phoenix.</x:v>
      </x:c>
      <x:c r="N26" s="14" t="str">
        <x:v>Performance/Compatibility/QA2.</x:v>
      </x:c>
      <x:c r="O26" s="14" t="str">
        <x:v>Sob demanda</x:v>
      </x:c>
      <x:c r="P26" s="14" t="str">
        <x:v>Codex</x:v>
      </x:c>
      <x:c r="Q26" s="14" t="str">
        <x:v>Alta</x:v>
      </x:c>
      <x:c r="R26" s="14" t="str">
        <x:v>01a0e473-f619-7298-be0c-c694efd0637c</x:v>
      </x:c>
      <x:c r="S26" s="14" t="str">
        <x:v>F15 Skill Runtime + Memory/Context Engine | F19 Repo Intelligence / Tree-sitter | F22 Device Nodes</x:v>
      </x:c>
      <x:c r="T26" s="14" t="str">
        <x:v>gpu.webgpu.evaluate</x:v>
      </x:c>
      <x:c r="U26" s="14" t="str">
        <x:v>Skills versionadas; promoção só após prova; Memory/Context sob escopo; Context Pack mínimo; Node/session state efêmero e pareado</x:v>
      </x:c>
      <x:c r="V26" s="14" t="str">
        <x:v>agent.webgpu.gpu.agent.started / .completed / .failed + evidence.ledger.recorded</x:v>
      </x:c>
      <x:c r="W26" s="14" t="str">
        <x:v>Least privilege; writes policy-gated; evidência obrigatória; sem autoaprovação. Device input/screen exige autorização de sessão e logging.</x:v>
      </x:c>
      <x:c r="X26" s="14" t="str">
        <x:v>Architect (MIT) — AST/Tree-sitter/Repo Intelligence | oh-my-claudecode (MIT) — multiagentes/jobs/skills/router | Hermes — patterns; validar licença por versão</x:v>
      </x:c>
    </x:row>
    <x:row r="27" ht="62" customHeight="1">
      <x:c r="A27" s="14" t="n">
        <x:v>26</x:v>
      </x:c>
      <x:c r="B27" s="14" t="str">
        <x:v>Engenharia &amp; Arquitetura</x:v>
      </x:c>
      <x:c r="C27" s="14" t="str">
        <x:v>Rust</x:v>
      </x:c>
      <x:c r="D27" s="14" t="str">
        <x:v>PhoenixRustCore Agent</x:v>
      </x:c>
      <x:c r="E27" s="14" t="str">
        <x:v>Agente do núcleo Rust</x:v>
      </x:c>
      <x:c r="F27" s="14" t="str">
        <x:v>Desenvolve extensões e abstrações próprias que complementam Rust Stable.</x:v>
      </x:c>
      <x:c r="G27" s="14" t="str">
        <x:v>Implementa crates de events, commands, signals, binding, tasks, reflection controlada, macros e ergonomia com foco em zero-cost quando possível.</x:v>
      </x:c>
      <x:c r="H27" s="14" t="str">
        <x:v>Rust Stable, benchmarks, RFCs, cargo, Criterion.</x:v>
      </x:c>
      <x:c r="I27" s="14" t="str">
        <x:v>Criar/alterar crates PhoenixRustCore, deprecar features superadas pelo Rust.</x:v>
      </x:c>
      <x:c r="J27" s="14" t="str">
        <x:v>Gap aprovado por hipótese/RFC.</x:v>
      </x:c>
      <x:c r="K27" s="14" t="str">
        <x:v>Rust Gap Database e ADR.</x:v>
      </x:c>
      <x:c r="L27" s="14" t="str">
        <x:v>Crate versionado, testes e benchmark Rust puro vs Phoenix.</x:v>
      </x:c>
      <x:c r="M27" s="14" t="str">
        <x:v>Não forka rustc nem cria incompatibilidade desnecessária.</x:v>
      </x:c>
      <x:c r="N27" s="14" t="str">
        <x:v>Rust Evolution / QA / Versionador.</x:v>
      </x:c>
      <x:c r="O27" s="14" t="str">
        <x:v>Sob demanda</x:v>
      </x:c>
      <x:c r="P27" s="14" t="str">
        <x:v>Codex</x:v>
      </x:c>
      <x:c r="Q27" s="14" t="str">
        <x:v>Crítica</x:v>
      </x:c>
      <x:c r="R27" s="14" t="str">
        <x:v>01a0e473-f61a-75e5-a700-82b23d956190</x:v>
      </x:c>
      <x:c r="S27" s="14" t="str">
        <x:v>F15 Skill Runtime + Memory/Context Engine | F16 Scheduler + Background Jobs | F18 MCP + LSP Runtime | F19 Repo Intelligence / Tree-sitter | F22 Device Nodes</x:v>
      </x:c>
      <x:c r="T27" s="14" t="str">
        <x:v>core.rust.evolve</x:v>
      </x:c>
      <x:c r="U27" s="14" t="str">
        <x:v>Skills versionadas; promoção só após prova; Memory/Context sob escopo; Context Pack mínimo; Job UUIDv7 + lease/heartbeat/resume em PostgreSQL; Node/session state efêmero e pareado</x:v>
      </x:c>
      <x:c r="V27" s="14" t="str">
        <x:v>agent.phoenixrustcore.agent.started / .completed / .failed + evidence.ledger.recorded</x:v>
      </x:c>
      <x:c r="W27" s="14" t="str">
        <x:v>Least privilege; write sensível, gasto, publicação, privilégio ou ação destrutiva exigem gate explícito. Device input/screen exige autorização de sessão e logging.</x:v>
      </x:c>
      <x:c r="X27" s="14" t="str">
        <x:v>Architect (MIT) — AST/Tree-sitter/Repo Intelligence | oh-my-claudecode (MIT) — multiagentes/jobs/skills/router | Hermes — patterns; validar licença por versão</x:v>
      </x:c>
    </x:row>
    <x:row r="28" ht="62" customHeight="1">
      <x:c r="A28" s="14" t="n">
        <x:v>27</x:v>
      </x:c>
      <x:c r="B28" s="14" t="str">
        <x:v>Engenharia &amp; Arquitetura</x:v>
      </x:c>
      <x:c r="C28" s="14" t="str">
        <x:v>Compilador</x:v>
      </x:c>
      <x:c r="D28" s="14" t="str">
        <x:v>Compiler Agent</x:v>
      </x:c>
      <x:c r="E28" s="14" t="str">
        <x:v>Agente de compilador</x:v>
      </x:c>
      <x:c r="F28" s="14" t="str">
        <x:v>Constrói parser, análise semântica, otimização e geração de código.</x:v>
      </x:c>
      <x:c r="G28" s="14" t="str">
        <x:v>Mantém ASTs, lowering para Phoenix IR, codegen Rust/WASM, diagnostics, source maps e invariantes do compilador.</x:v>
      </x:c>
      <x:c r="H28" s="14" t="str">
        <x:v>Parser libs, Rust, Phoenix IR, test corpus, fuzzing.</x:v>
      </x:c>
      <x:c r="I28" s="14" t="str">
        <x:v>Implementar passes, diagnósticos, codegen e testes de compilador.</x:v>
      </x:c>
      <x:c r="J28" s="14" t="str">
        <x:v>Novo frontend/backend ou evolução IR.</x:v>
      </x:c>
      <x:c r="K28" s="14" t="str">
        <x:v>Language specs, IR contracts e acceptance corpus.</x:v>
      </x:c>
      <x:c r="L28" s="14" t="str">
        <x:v>Compiler artifacts, diagnostics e tests.</x:v>
      </x:c>
      <x:c r="M28" s="14" t="str">
        <x:v>Não bypassa invariantes da IR.</x:v>
      </x:c>
      <x:c r="N28" s="14" t="str">
        <x:v>Phoenix IR / Fuzz / QA2.</x:v>
      </x:c>
      <x:c r="O28" s="14" t="str">
        <x:v>Sob demanda</x:v>
      </x:c>
      <x:c r="P28" s="14" t="str">
        <x:v>Codex/Claude</x:v>
      </x:c>
      <x:c r="Q28" s="14" t="str">
        <x:v>Crítica</x:v>
      </x:c>
      <x:c r="R28" s="14" t="str">
        <x:v>01a0e473-f61b-7a18-bcb7-555a29859d43</x:v>
      </x:c>
      <x:c r="S28" s="14" t="str">
        <x:v>F15 Skill Runtime + Memory/Context Engine | F18 MCP + LSP Runtime | F19 Repo Intelligence / Tree-sitter | F22 Device Nodes</x:v>
      </x:c>
      <x:c r="T28" s="14" t="str">
        <x:v>compiler.build</x:v>
      </x:c>
      <x:c r="U28" s="14" t="str">
        <x:v>Skills versionadas; promoção só após prova; Memory/Context sob escopo; Context Pack mínimo; Node/session state efêmero e pareado</x:v>
      </x:c>
      <x:c r="V28" s="14" t="str">
        <x:v>agent.compiler.agent.started / .completed / .failed + evidence.ledger.recorded</x:v>
      </x:c>
      <x:c r="W28" s="14" t="str">
        <x:v>Least privilege; write sensível, gasto, publicação, privilégio ou ação destrutiva exigem gate explícito. Device input/screen exige autorização de sessão e logging.</x:v>
      </x:c>
      <x:c r="X28" s="14" t="str">
        <x:v>Architect (MIT) — AST/Tree-sitter/Repo Intelligence | oh-my-claudecode (MIT) — multiagentes/jobs/skills/router | Hermes — patterns; validar licença por versão</x:v>
      </x:c>
    </x:row>
    <x:row r="29" ht="62" customHeight="1">
      <x:c r="A29" s="14" t="n">
        <x:v>28</x:v>
      </x:c>
      <x:c r="B29" s="14" t="str">
        <x:v>Engenharia &amp; Arquitetura</x:v>
      </x:c>
      <x:c r="C29" s="14" t="str">
        <x:v>IR</x:v>
      </x:c>
      <x:c r="D29" s="14" t="str">
        <x:v>Phoenix IR Agent</x:v>
      </x:c>
      <x:c r="E29" s="14" t="str">
        <x:v>Agente de IR</x:v>
      </x:c>
      <x:c r="F29" s="14" t="str">
        <x:v>Mantém a representação intermediária estável, tipada e independente de tecnologia.</x:v>
      </x:c>
      <x:c r="G29" s="14" t="str">
        <x:v>Define nós, tipos, versionamento, invariantes, migrations, otimizações e relações entre Core/UI/Data/Media IR.</x:v>
      </x:c>
      <x:c r="H29" s="14" t="str">
        <x:v>IR schemas, validators, optimizer, compatibility tests.</x:v>
      </x:c>
      <x:c r="I29" s="14" t="str">
        <x:v>Evoluir IR, validar invariantes, criar migration.</x:v>
      </x:c>
      <x:c r="J29" s="14" t="str">
        <x:v>Nova capacidade sem representação adequada ou breaking change.</x:v>
      </x:c>
      <x:c r="K29" s="14" t="str">
        <x:v>ADRs, compiler requirements e compatibility.</x:v>
      </x:c>
      <x:c r="L29" s="14" t="str">
        <x:v>Phoenix IR versionada + migration.</x:v>
      </x:c>
      <x:c r="M29" s="14" t="str">
        <x:v>Não permite target/vendor vazar para abstração central.</x:v>
      </x:c>
      <x:c r="N29" s="14" t="str">
        <x:v>Compiler/Compatibility/Guardian.</x:v>
      </x:c>
      <x:c r="O29" s="14" t="str">
        <x:v>Sob demanda</x:v>
      </x:c>
      <x:c r="P29" s="14" t="str">
        <x:v>Claude/Codex</x:v>
      </x:c>
      <x:c r="Q29" s="14" t="str">
        <x:v>Crítica</x:v>
      </x:c>
      <x:c r="R29" s="14" t="str">
        <x:v>01a0e473-f61c-76a6-9a24-862ff8ce3f31</x:v>
      </x:c>
      <x:c r="S29" s="14" t="str">
        <x:v>F15 Skill Runtime + Memory/Context Engine | F17 Checkpoint + Rollback | F19 Repo Intelligence / Tree-sitter | F22 Device Nodes | F25 Knowledge / Evidence Graph</x:v>
      </x:c>
      <x:c r="T29" s="14" t="str">
        <x:v>ir.transform</x:v>
      </x:c>
      <x:c r="U29" s="14" t="str">
        <x:v>Skills versionadas; promoção só após prova; Memory/Context sob escopo; Context Pack mínimo; Checkpoint manifest + hashes + rollback evidence; Node/session state efêmero e pareado</x:v>
      </x:c>
      <x:c r="V29" s="14" t="str">
        <x:v>agent.phoenix.ir.agent.started / .completed / .failed + evidence.ledger.recorded</x:v>
      </x:c>
      <x:c r="W29" s="14" t="str">
        <x:v>Least privilege; write sensível, gasto, publicação, privilégio ou ação destrutiva exigem gate explícito. Device input/screen exige autorização de sessão e logging.</x:v>
      </x:c>
      <x:c r="X29" s="14" t="str">
        <x:v>Architect (MIT) — AST/Tree-sitter/Repo Intelligence | oh-my-claudecode (MIT) — multiagentes/jobs/skills/router | Hermes — patterns; validar licença por versão</x:v>
      </x:c>
    </x:row>
    <x:row r="30" ht="62" customHeight="1">
      <x:c r="A30" s="14" t="n">
        <x:v>29</x:v>
      </x:c>
      <x:c r="B30" s="14" t="str">
        <x:v>Engenharia &amp; Arquitetura</x:v>
      </x:c>
      <x:c r="C30" s="14" t="str">
        <x:v>Formato</x:v>
      </x:c>
      <x:c r="D30" s="14" t="str">
        <x:v>PHX JSON Agent</x:v>
      </x:c>
      <x:c r="E30" s="14" t="str">
        <x:v>Agente de formato declarativo</x:v>
      </x:c>
      <x:c r="F30" s="14" t="str">
        <x:v>Mantém PHX JSON como formato declarativo estável e auditável.</x:v>
      </x:c>
      <x:c r="G30" s="14" t="str">
        <x:v>Define JSON Schema, parser/serializer lossless, patch format, validation, migrations e compatibilidade retroativa.</x:v>
      </x:c>
      <x:c r="H30" s="14" t="str">
        <x:v>JSON Schema, serde, validator, migration suite.</x:v>
      </x:c>
      <x:c r="I30" s="14" t="str">
        <x:v>Versionar schema, validar docs, criar migradores, aplicar JSON Patch.</x:v>
      </x:c>
      <x:c r="J30" s="14" t="str">
        <x:v>Nova entidade/campo ou mudança de contrato.</x:v>
      </x:c>
      <x:c r="K30" s="14" t="str">
        <x:v>Phoenix IR, plugin manifests, templates.</x:v>
      </x:c>
      <x:c r="L30" s="14" t="str">
        <x:v>Schema/migrator/tests.</x:v>
      </x:c>
      <x:c r="M30" s="14" t="str">
        <x:v>JSON descreve; não vira runtime interpretado pesado.</x:v>
      </x:c>
      <x:c r="N30" s="14" t="str">
        <x:v>Compatibility / QA.</x:v>
      </x:c>
      <x:c r="O30" s="14" t="str">
        <x:v>Sob demanda</x:v>
      </x:c>
      <x:c r="P30" s="14" t="str">
        <x:v>Codex</x:v>
      </x:c>
      <x:c r="Q30" s="14" t="str">
        <x:v>Crítica</x:v>
      </x:c>
      <x:c r="R30" s="14" t="str">
        <x:v>01a0e473-f61d-7108-9296-72259235c74d</x:v>
      </x:c>
      <x:c r="S30" s="14" t="str">
        <x:v>F15 Skill Runtime + Memory/Context Engine | F17 Checkpoint + Rollback | F19 Repo Intelligence / Tree-sitter | F22 Device Nodes</x:v>
      </x:c>
      <x:c r="T30" s="14" t="str">
        <x:v>format.phxjson.manage</x:v>
      </x:c>
      <x:c r="U30" s="14" t="str">
        <x:v>Skills versionadas; promoção só após prova; Memory/Context sob escopo; Context Pack mínimo; Checkpoint manifest + hashes + rollback evidence; Node/session state efêmero e pareado</x:v>
      </x:c>
      <x:c r="V30" s="14" t="str">
        <x:v>agent.phx.json.agent.started / .completed / .failed + evidence.ledger.recorded</x:v>
      </x:c>
      <x:c r="W30" s="14" t="str">
        <x:v>Least privilege; write sensível, gasto, publicação, privilégio ou ação destrutiva exigem gate explícito. Device input/screen exige autorização de sessão e logging.</x:v>
      </x:c>
      <x:c r="X30" s="14" t="str">
        <x:v>Architect (MIT) — AST/Tree-sitter/Repo Intelligence | oh-my-claudecode (MIT) — multiagentes/jobs/skills/router | Hermes — patterns; validar licença por versão</x:v>
      </x:c>
    </x:row>
    <x:row r="31" ht="62" customHeight="1">
      <x:c r="A31" s="14" t="n">
        <x:v>30</x:v>
      </x:c>
      <x:c r="B31" s="14" t="str">
        <x:v>Segurança &amp; Compliance</x:v>
      </x:c>
      <x:c r="C31" s="14" t="str">
        <x:v>Identidade</x:v>
      </x:c>
      <x:c r="D31" s="14" t="str">
        <x:v>UUIDv7 Guardian</x:v>
      </x:c>
      <x:c r="E31" s="14" t="str">
        <x:v>Guardião de identidade</x:v>
      </x:c>
      <x:c r="F31" s="14" t="str">
        <x:v>Garante UUIDv7 único e imutável para entidades persistentes.</x:v>
      </x:c>
      <x:c r="G31" s="14" t="str">
        <x:v>Valida geração, versão, unicidade, referência, clone/remap, índices e preservação de identidade entre versões.</x:v>
      </x:c>
      <x:c r="H31" s="14" t="str">
        <x:v>UUID registry, PostgreSQL constraints, validators.</x:v>
      </x:c>
      <x:c r="I31" s="14" t="str">
        <x:v>Bloquear UUID inválido/duplicado, auditar referências quebradas.</x:v>
      </x:c>
      <x:c r="J31" s="14" t="str">
        <x:v>Persistência, migration, clone ou import.</x:v>
      </x:c>
      <x:c r="K31" s="14" t="str">
        <x:v>Objeto/graph state.</x:v>
      </x:c>
      <x:c r="L31" s="14" t="str">
        <x:v>Identity report e gate.</x:v>
      </x:c>
      <x:c r="M31" s="14" t="str">
        <x:v>Nunca permite IDs legíveis substituírem identidade persistente.</x:v>
      </x:c>
      <x:c r="N31" s="14" t="str">
        <x:v>PHX JSON/Template/Migration QA.</x:v>
      </x:c>
      <x:c r="O31" s="14" t="str">
        <x:v>Permanente</x:v>
      </x:c>
      <x:c r="P31" s="14" t="str">
        <x:v>Determinístico/Ollama</x:v>
      </x:c>
      <x:c r="Q31" s="14" t="str">
        <x:v>Crítica</x:v>
      </x:c>
      <x:c r="R31" s="14" t="str">
        <x:v>01a0e473-f61e-7a08-af45-723fadfdbd38</x:v>
      </x:c>
      <x:c r="S31" s="14" t="str">
        <x:v>F22 Device Nodes | F23 Secret &amp; Credential Broker</x:v>
      </x:c>
      <x:c r="T31" s="14" t="str">
        <x:v>identity.uuidv7.guard</x:v>
      </x:c>
      <x:c r="U31" s="14" t="str">
        <x:v>Node/session state efêmero e pareado; Somente metadados de segredo; valores nunca em prompt/log; Estado operacional persistente em PostgreSQL</x:v>
      </x:c>
      <x:c r="V31" s="14" t="str">
        <x:v>agent.uuidv7.guardian.started / .completed / .failed + evidence.ledger.recorded</x:v>
      </x:c>
      <x:c r="W31" s="14" t="str">
        <x:v>Least privilege; write sensível, gasto, publicação, privilégio ou ação destrutiva exigem gate explícito. Device input/screen exige autorização de sessão e logging. Credenciais via broker/leases; nunca em prompt.</x:v>
      </x:c>
      <x:c r="X31" s="14" t="str">
        <x:v>Hermes — patterns; validar licença por versão | OpenClaw — gateway/nodes/channels; validar licença por versão | ZeroClaw — benchmark Rust/providers/tools</x:v>
      </x:c>
    </x:row>
    <x:row r="32" ht="62" customHeight="1">
      <x:c r="A32" s="14" t="n">
        <x:v>31</x:v>
      </x:c>
      <x:c r="B32" s="14" t="str">
        <x:v>Engenharia &amp; Arquitetura</x:v>
      </x:c>
      <x:c r="C32" s="14" t="str">
        <x:v>Templates</x:v>
      </x:c>
      <x:c r="D32" s="14" t="str">
        <x:v>Template Engine Agent</x:v>
      </x:c>
      <x:c r="E32" s="14" t="str">
        <x:v>Agente de templates</x:v>
      </x:c>
      <x:c r="F32" s="14" t="str">
        <x:v>Implementa templates versionados com herança, composição, slots, overrides e propagação.</x:v>
      </x:c>
      <x:c r="G32" s="14" t="str">
        <x:v>Mantém Dependency Graph de templates, impacto, rollback, variants e preservação de overrides em atualizações.</x:v>
      </x:c>
      <x:c r="H32" s="14" t="str">
        <x:v>Phoenix IR, UUIDv7, Dependency Graph, tests.</x:v>
      </x:c>
      <x:c r="I32" s="14" t="str">
        <x:v>Criar template engine, resolver dependências, propagar, rollback.</x:v>
      </x:c>
      <x:c r="J32" s="14" t="str">
        <x:v>Feature de template ou alteração em modelo mestre.</x:v>
      </x:c>
      <x:c r="K32" s="14" t="str">
        <x:v>Component Model e contracts.</x:v>
      </x:c>
      <x:c r="L32" s="14" t="str">
        <x:v>Template runtime + impact evidence.</x:v>
      </x:c>
      <x:c r="M32" s="14" t="str">
        <x:v>Não altera instâncias fora das regras de override.</x:v>
      </x:c>
      <x:c r="N32" s="14" t="str">
        <x:v>OPA/Regression/Compatibility.</x:v>
      </x:c>
      <x:c r="O32" s="14" t="str">
        <x:v>Sob demanda</x:v>
      </x:c>
      <x:c r="P32" s="14" t="str">
        <x:v>Codex</x:v>
      </x:c>
      <x:c r="Q32" s="14" t="str">
        <x:v>Crítica</x:v>
      </x:c>
      <x:c r="R32" s="14" t="str">
        <x:v>01a0e473-f61f-706e-a43f-f39a2a424cc8</x:v>
      </x:c>
      <x:c r="S32" s="14" t="str">
        <x:v>F15 Skill Runtime + Memory/Context Engine | F17 Checkpoint + Rollback | F19 Repo Intelligence / Tree-sitter | F22 Device Nodes</x:v>
      </x:c>
      <x:c r="T32" s="14" t="str">
        <x:v>template.manage</x:v>
      </x:c>
      <x:c r="U32" s="14" t="str">
        <x:v>Skills versionadas; promoção só após prova; Memory/Context sob escopo; Context Pack mínimo; Checkpoint manifest + hashes + rollback evidence; Node/session state efêmero e pareado</x:v>
      </x:c>
      <x:c r="V32" s="14" t="str">
        <x:v>agent.template.engine.agent.started / .completed / .failed + evidence.ledger.recorded</x:v>
      </x:c>
      <x:c r="W32" s="14" t="str">
        <x:v>Least privilege; write sensível, gasto, publicação, privilégio ou ação destrutiva exigem gate explícito. Device input/screen exige autorização de sessão e logging.</x:v>
      </x:c>
      <x:c r="X32" s="14" t="str">
        <x:v>Architect (MIT) — AST/Tree-sitter/Repo Intelligence | oh-my-claudecode (MIT) — multiagentes/jobs/skills/router | Hermes — patterns; validar licença por versão</x:v>
      </x:c>
    </x:row>
    <x:row r="33" ht="62" customHeight="1">
      <x:c r="A33" s="14" t="n">
        <x:v>32</x:v>
      </x:c>
      <x:c r="B33" s="14" t="str">
        <x:v>Engenharia &amp; Arquitetura</x:v>
      </x:c>
      <x:c r="C33" s="14" t="str">
        <x:v>Runtime</x:v>
      </x:c>
      <x:c r="D33" s="14" t="str">
        <x:v>Event/Command Agent</x:v>
      </x:c>
      <x:c r="E33" s="14" t="str">
        <x:v>Agente de eventos/comandos</x:v>
      </x:c>
      <x:c r="F33" s="14" t="str">
        <x:v>Mantém eventos tipados e comandos executáveis separados e rastreáveis.</x:v>
      </x:c>
      <x:c r="G33" s="14" t="str">
        <x:v>Define event bus, command pipeline, before/validate/execute/success/error/finally, async, cancellation e metadata.</x:v>
      </x:c>
      <x:c r="H33" s="14" t="str">
        <x:v>PhoenixRustCore, Event Graph, tracing, tests.</x:v>
      </x:c>
      <x:c r="I33" s="14" t="str">
        <x:v>Criar event/command runtime e contratos.</x:v>
      </x:c>
      <x:c r="J33" s="14" t="str">
        <x:v>Nova interação, ação ou comportamento.</x:v>
      </x:c>
      <x:c r="K33" s="14" t="str">
        <x:v>Component/behavior contracts.</x:v>
      </x:c>
      <x:c r="L33" s="14" t="str">
        <x:v>Runtime + tests + trace semantics.</x:v>
      </x:c>
      <x:c r="M33" s="14" t="str">
        <x:v>Não mistura 'algo aconteceu' com 'faça algo' sem justificativa.</x:v>
      </x:c>
      <x:c r="N33" s="14" t="str">
        <x:v>Reactive/Behavior/QA.</x:v>
      </x:c>
      <x:c r="O33" s="14" t="str">
        <x:v>Sob demanda</x:v>
      </x:c>
      <x:c r="P33" s="14" t="str">
        <x:v>Codex</x:v>
      </x:c>
      <x:c r="Q33" s="14" t="str">
        <x:v>Alta</x:v>
      </x:c>
      <x:c r="R33" s="14" t="str">
        <x:v>01a0e473-f620-7533-9bea-64a668b0ee29</x:v>
      </x:c>
      <x:c r="S33" s="14" t="str">
        <x:v>F15 Skill Runtime + Memory/Context Engine | F16 Scheduler + Background Jobs | F19 Repo Intelligence / Tree-sitter | F22 Device Nodes | F25 Knowledge / Evidence Graph</x:v>
      </x:c>
      <x:c r="T33" s="14" t="str">
        <x:v>event.command.dispatch</x:v>
      </x:c>
      <x:c r="U33" s="14" t="str">
        <x:v>Skills versionadas; promoção só após prova; Memory/Context sob escopo; Context Pack mínimo; Job UUIDv7 + lease/heartbeat/resume em PostgreSQL; Node/session state efêmero e pareado</x:v>
      </x:c>
      <x:c r="V33" s="14" t="str">
        <x:v>agent.event.command.agent.started / .completed / .failed + evidence.ledger.recorded</x:v>
      </x:c>
      <x:c r="W33" s="14" t="str">
        <x:v>Least privilege; writes policy-gated; evidência obrigatória; sem autoaprovação. Device input/screen exige autorização de sessão e logging.</x:v>
      </x:c>
      <x:c r="X33" s="14" t="str">
        <x:v>Architect (MIT) — AST/Tree-sitter/Repo Intelligence | oh-my-claudecode (MIT) — multiagentes/jobs/skills/router | Hermes — patterns; validar licença por versão</x:v>
      </x:c>
    </x:row>
    <x:row r="34" ht="62" customHeight="1">
      <x:c r="A34" s="14" t="n">
        <x:v>33</x:v>
      </x:c>
      <x:c r="B34" s="14" t="str">
        <x:v>Engenharia &amp; Arquitetura</x:v>
      </x:c>
      <x:c r="C34" s="14" t="str">
        <x:v>Runtime</x:v>
      </x:c>
      <x:c r="D34" s="14" t="str">
        <x:v>Reactive Agent</x:v>
      </x:c>
      <x:c r="E34" s="14" t="str">
        <x:v>Agente reativo</x:v>
      </x:c>
      <x:c r="F34" s="14" t="str">
        <x:v>Implementa Signals, State e Binding com atualização granular.</x:v>
      </x:c>
      <x:c r="G34" s="14" t="str">
        <x:v>Mantém signals, computed values, watchers, one/two-way binding, cycle detection e otimização de propagação.</x:v>
      </x:c>
      <x:c r="H34" s="14" t="str">
        <x:v>PhoenixRustCore, dependency graph, benchmarks.</x:v>
      </x:c>
      <x:c r="I34" s="14" t="str">
        <x:v>Implementar reactive core, medir propagação e detectar loops.</x:v>
      </x:c>
      <x:c r="J34" s="14" t="str">
        <x:v>UI/data binding ou state management.</x:v>
      </x:c>
      <x:c r="K34" s="14" t="str">
        <x:v>Component state e contracts.</x:v>
      </x:c>
      <x:c r="L34" s="14" t="str">
        <x:v>Reactive Core + benchmarks.</x:v>
      </x:c>
      <x:c r="M34" s="14" t="str">
        <x:v>Não rerenderiza tudo se update granular for possível.</x:v>
      </x:c>
      <x:c r="N34" s="14" t="str">
        <x:v>UI/Performance/QA.</x:v>
      </x:c>
      <x:c r="O34" s="14" t="str">
        <x:v>Sob demanda</x:v>
      </x:c>
      <x:c r="P34" s="14" t="str">
        <x:v>Codex</x:v>
      </x:c>
      <x:c r="Q34" s="14" t="str">
        <x:v>Alta</x:v>
      </x:c>
      <x:c r="R34" s="14" t="str">
        <x:v>01a0e473-f621-76d1-b870-fd3b55c7c313</x:v>
      </x:c>
      <x:c r="S34" s="14" t="str">
        <x:v>F15 Skill Runtime + Memory/Context Engine | F16 Scheduler + Background Jobs | F18 MCP + LSP Runtime | F19 Repo Intelligence / Tree-sitter | F22 Device Nodes</x:v>
      </x:c>
      <x:c r="T34" s="14" t="str">
        <x:v>runtime.reactive.handle</x:v>
      </x:c>
      <x:c r="U34" s="14" t="str">
        <x:v>Skills versionadas; promoção só após prova; Memory/Context sob escopo; Context Pack mínimo; Job UUIDv7 + lease/heartbeat/resume em PostgreSQL; Node/session state efêmero e pareado</x:v>
      </x:c>
      <x:c r="V34" s="14" t="str">
        <x:v>agent.reactive.agent.started / .completed / .failed + evidence.ledger.recorded</x:v>
      </x:c>
      <x:c r="W34" s="14" t="str">
        <x:v>Least privilege; writes policy-gated; evidência obrigatória; sem autoaprovação. Device input/screen exige autorização de sessão e logging.</x:v>
      </x:c>
      <x:c r="X34" s="14" t="str">
        <x:v>Architect (MIT) — AST/Tree-sitter/Repo Intelligence | oh-my-claudecode (MIT) — multiagentes/jobs/skills/router | Hermes — patterns; validar licença por versão</x:v>
      </x:c>
    </x:row>
    <x:row r="35" ht="62" customHeight="1">
      <x:c r="A35" s="14" t="n">
        <x:v>34</x:v>
      </x:c>
      <x:c r="B35" s="14" t="str">
        <x:v>Creative Studio &amp; UX</x:v>
      </x:c>
      <x:c r="C35" s="14" t="str">
        <x:v>UI</x:v>
      </x:c>
      <x:c r="D35" s="14" t="str">
        <x:v>UI/RAD Agent</x:v>
      </x:c>
      <x:c r="E35" s="14" t="str">
        <x:v>Agente de UI/RAD</x:v>
      </x:c>
      <x:c r="F35" s="14" t="str">
        <x:v>Constrói controles, telas, layouts e infraestrutura visual do Phoenix Studio.</x:v>
      </x:c>
      <x:c r="G35" s="14" t="str">
        <x:v>Implementa Window/Screen/Panel/Button/Grid/Form/layout responsivo, inspector bindings e integração com templates.</x:v>
      </x:c>
      <x:c r="H35" s="14" t="str">
        <x:v>Phoenix IR, Component Model, Designer model, accessibility hooks.</x:v>
      </x:c>
      <x:c r="I35" s="14" t="str">
        <x:v>Criar controles e Designer, gerar/editar IR.</x:v>
      </x:c>
      <x:c r="J35" s="14" t="str">
        <x:v>Feature visual ou RAD.</x:v>
      </x:c>
      <x:c r="K35" s="14" t="str">
        <x:v>Creative specs, templates e runtime.</x:v>
      </x:c>
      <x:c r="L35" s="14" t="str">
        <x:v>UI components + designer functionality.</x:v>
      </x:c>
      <x:c r="M35" s="14" t="str">
        <x:v>Não codifica texto internacionalizável fixo nem ignora acessibilidade.</x:v>
      </x:c>
      <x:c r="N35" s="14" t="str">
        <x:v>Creative Studio → Accessibility → User Proof.</x:v>
      </x:c>
      <x:c r="O35" s="14" t="str">
        <x:v>Sob demanda</x:v>
      </x:c>
      <x:c r="P35" s="14" t="str">
        <x:v>Codex</x:v>
      </x:c>
      <x:c r="Q35" s="14" t="str">
        <x:v>Alta</x:v>
      </x:c>
      <x:c r="R35" s="14" t="str">
        <x:v>01a0e473-f622-7f3f-ae87-743175a5d8ea</x:v>
      </x:c>
      <x:c r="S35" s="14" t="str">
        <x:v>F18 MCP + LSP Runtime | F22 Device Nodes</x:v>
      </x:c>
      <x:c r="T35" s="14" t="str">
        <x:v>ui.rad.build</x:v>
      </x:c>
      <x:c r="U35" s="14" t="str">
        <x:v>Node/session state efêmero e pareado</x:v>
      </x:c>
      <x:c r="V35" s="14" t="str">
        <x:v>agent.ui.rad.agent.started / .completed / .failed + evidence.ledger.recorded</x:v>
      </x:c>
      <x:c r="W35" s="14" t="str">
        <x:v>Least privilege; writes policy-gated; evidência obrigatória; sem autoaprovação. Device input/screen exige autorização de sessão e logging.</x:v>
      </x:c>
      <x:c r="X35" s="14" t="str">
        <x:v>OpenClaw — gateway/nodes/channels; validar licença por versão | ZeroClaw — benchmark Rust/providers/tools | Claw Code Rust — referência técnica/clean-room</x:v>
      </x:c>
    </x:row>
    <x:row r="36" ht="62" customHeight="1">
      <x:c r="A36" s="14" t="n">
        <x:v>35</x:v>
      </x:c>
      <x:c r="B36" s="14" t="str">
        <x:v>Creative Studio &amp; UX</x:v>
      </x:c>
      <x:c r="C36" s="14" t="str">
        <x:v>Media</x:v>
      </x:c>
      <x:c r="D36" s="14" t="str">
        <x:v>Action/Media Agent</x:v>
      </x:c>
      <x:c r="E36" s="14" t="str">
        <x:v>Agente de mídia/ActionScript concepts</x:v>
      </x:c>
      <x:c r="F36" s="14" t="str">
        <x:v>Implementa no Phoenix as facilidades úteis de Flash/ActionScript em Rust/WASM.</x:v>
      </x:c>
      <x:c r="G36" s="14" t="str">
        <x:v>Stage, Scene, Sprite, MovieClip, Timeline, Tween, Graphics, filters, audio/video, input e asset lifecycle.</x:v>
      </x:c>
      <x:c r="H36" s="14" t="str">
        <x:v>Scene Graph, GPU backend, audio/video APIs, WASM.</x:v>
      </x:c>
      <x:c r="I36" s="14" t="str">
        <x:v>Implementar media runtime e APIs modernas/compat.</x:v>
      </x:c>
      <x:c r="J36" s="14" t="str">
        <x:v>Feature de animação, visual, mídia ou migração ActionScript.</x:v>
      </x:c>
      <x:c r="K36" s="14" t="str">
        <x:v>Phoenix IR Media + graphics contracts.</x:v>
      </x:c>
      <x:c r="L36" s="14" t="str">
        <x:v>Phoenix Media Runtime + demos.</x:v>
      </x:c>
      <x:c r="M36" s="14" t="str">
        <x:v>Não incorpora Flash Player/AVM como dependência de aplicações novas.</x:v>
      </x:c>
      <x:c r="N36" s="14" t="str">
        <x:v>GPU/WASM/QA visual.</x:v>
      </x:c>
      <x:c r="O36" s="14" t="str">
        <x:v>Sob demanda</x:v>
      </x:c>
      <x:c r="P36" s="14" t="str">
        <x:v>Codex</x:v>
      </x:c>
      <x:c r="Q36" s="14" t="str">
        <x:v>Alta</x:v>
      </x:c>
      <x:c r="R36" s="14" t="str">
        <x:v>01a0e473-f623-7e37-91d5-fd9a71c267ad</x:v>
      </x:c>
      <x:c r="S36" s="14" t="str">
        <x:v>F15 Skill Runtime + Memory/Context Engine | F18 MCP + LSP Runtime | F22 Device Nodes</x:v>
      </x:c>
      <x:c r="T36" s="14" t="str">
        <x:v>media.action.process</x:v>
      </x:c>
      <x:c r="U36" s="14" t="str">
        <x:v>Skills versionadas; promoção só após prova; Memory/Context sob escopo; Context Pack mínimo; Node/session state efêmero e pareado</x:v>
      </x:c>
      <x:c r="V36" s="14" t="str">
        <x:v>agent.action.media.agent.started / .completed / .failed + evidence.ledger.recorded</x:v>
      </x:c>
      <x:c r="W36" s="14" t="str">
        <x:v>Least privilege; writes policy-gated; evidência obrigatória; sem autoaprovação. Device input/screen exige autorização de sessão e logging.</x:v>
      </x:c>
      <x:c r="X36" s="14" t="str">
        <x:v>oh-my-claudecode (MIT) — multiagentes/jobs/skills/router | Hermes — patterns; validar licença por versão | OpenClaw — gateway/nodes/channels; validar licença por versão</x:v>
      </x:c>
    </x:row>
    <x:row r="37" ht="62" customHeight="1">
      <x:c r="A37" s="14" t="n">
        <x:v>36</x:v>
      </x:c>
      <x:c r="B37" s="14" t="str">
        <x:v>Dados &amp; Integrações</x:v>
      </x:c>
      <x:c r="C37" s="14" t="str">
        <x:v>Dados</x:v>
      </x:c>
      <x:c r="D37" s="14" t="str">
        <x:v>Data Agent</x:v>
      </x:c>
      <x:c r="E37" s="14" t="str">
        <x:v>Agente de dados</x:v>
      </x:c>
      <x:c r="F37" s="14" t="str">
        <x:v>Mantém modelos, queries, repositories, transactions e abstrações de persistência.</x:v>
      </x:c>
      <x:c r="G37" s="14" t="str">
        <x:v>Define DataProvider contracts, query model, unit of work, cache/sync boundaries e integração com bindings.</x:v>
      </x:c>
      <x:c r="H37" s="14" t="str">
        <x:v>Phoenix Data IR, PostgreSQL provider, tests.</x:v>
      </x:c>
      <x:c r="I37" s="14" t="str">
        <x:v>Criar APIs de dados e providers.</x:v>
      </x:c>
      <x:c r="J37" s="14" t="str">
        <x:v>Feature que persiste/consulta dados.</x:v>
      </x:c>
      <x:c r="K37" s="14" t="str">
        <x:v>Model/schema requirements.</x:v>
      </x:c>
      <x:c r="L37" s="14" t="str">
        <x:v>Data layer + contract tests.</x:v>
      </x:c>
      <x:c r="M37" s="14" t="str">
        <x:v>Não acopla API pública a SQLx/PostgreSQL.</x:v>
      </x:c>
      <x:c r="N37" s="14" t="str">
        <x:v>PostgreSQL/Integration.</x:v>
      </x:c>
      <x:c r="O37" s="14" t="str">
        <x:v>Sob demanda</x:v>
      </x:c>
      <x:c r="P37" s="14" t="str">
        <x:v>Codex</x:v>
      </x:c>
      <x:c r="Q37" s="14" t="str">
        <x:v>Alta</x:v>
      </x:c>
      <x:c r="R37" s="14" t="str">
        <x:v>01a0e473-f624-7dc6-a802-a5b8d35664a9</x:v>
      </x:c>
      <x:c r="S37" s="14" t="str">
        <x:v>F18 MCP + LSP Runtime | F19 Repo Intelligence / Tree-sitter | F21 Channel Gateway | F25 Knowledge / Evidence Graph</x:v>
      </x:c>
      <x:c r="T37" s="14" t="str">
        <x:v>data.model.manage</x:v>
      </x:c>
      <x:c r="U37" s="14" t="str">
        <x:v>Session/channel state sem credencial no contexto; Knowledge/Evidence Graph com proveniência</x:v>
      </x:c>
      <x:c r="V37" s="14" t="str">
        <x:v>agent.data.agent.started / .completed / .failed + evidence.ledger.recorded</x:v>
      </x:c>
      <x:c r="W37" s="14" t="str">
        <x:v>Least privilege; writes policy-gated; evidência obrigatória; sem autoaprovação.</x:v>
      </x:c>
      <x:c r="X37" s="14" t="str">
        <x:v>Architect (MIT) — AST/Tree-sitter/Repo Intelligence | OpenClaw — gateway/nodes/channels; validar licença por versão | ZeroClaw — benchmark Rust/providers/tools</x:v>
      </x:c>
    </x:row>
    <x:row r="38" ht="62" customHeight="1">
      <x:c r="A38" s="14" t="n">
        <x:v>37</x:v>
      </x:c>
      <x:c r="B38" s="14" t="str">
        <x:v>Dados &amp; Integrações</x:v>
      </x:c>
      <x:c r="C38" s="14" t="str">
        <x:v>Banco</x:v>
      </x:c>
      <x:c r="D38" s="14" t="str">
        <x:v>PostgreSQL Agent</x:v>
      </x:c>
      <x:c r="E38" s="14" t="str">
        <x:v>Agente PostgreSQL</x:v>
      </x:c>
      <x:c r="F38" s="14" t="str">
        <x:v>Administra PostgreSQL como banco central de apoio e provider de dados.</x:v>
      </x:c>
      <x:c r="G38" s="14" t="str">
        <x:v>Schemas, migrations, indexes, EXPLAIN, locks, RLS quando necessário, tuning, backups e integridade.</x:v>
      </x:c>
      <x:c r="H38" s="14" t="str">
        <x:v>psql, EXPLAIN ANALYZE, migrations, metrics.</x:v>
      </x:c>
      <x:c r="I38" s="14" t="str">
        <x:v>Criar/otimizar migrations e queries, diagnosticar DB.</x:v>
      </x:c>
      <x:c r="J38" s="14" t="str">
        <x:v>Mudança de schema, query lenta, persistência PhoenixClaw.</x:v>
      </x:c>
      <x:c r="K38" s="14" t="str">
        <x:v>Data contracts e workload.</x:v>
      </x:c>
      <x:c r="L38" s="14" t="str">
        <x:v>Migration + query evidence + tuning report.</x:v>
      </x:c>
      <x:c r="M38" s="14" t="str">
        <x:v>Não modifica produção manualmente fora de migration registrada.</x:v>
      </x:c>
      <x:c r="N38" s="14" t="str">
        <x:v>Migration Guardian/Backup/QA.</x:v>
      </x:c>
      <x:c r="O38" s="14" t="str">
        <x:v>Permanente</x:v>
      </x:c>
      <x:c r="P38" s="14" t="str">
        <x:v>Codex/Ollama</x:v>
      </x:c>
      <x:c r="Q38" s="14" t="str">
        <x:v>Crítica</x:v>
      </x:c>
      <x:c r="R38" s="14" t="str">
        <x:v>01a0e473-f625-70a7-a3c0-51a2b0ec74c7</x:v>
      </x:c>
      <x:c r="S38" s="14" t="str">
        <x:v>F17 Checkpoint + Rollback | F18 MCP + LSP Runtime | F19 Repo Intelligence / Tree-sitter | F21 Channel Gateway | F25 Knowledge / Evidence Graph</x:v>
      </x:c>
      <x:c r="T38" s="14" t="str">
        <x:v>database.postgresql.operate</x:v>
      </x:c>
      <x:c r="U38" s="14" t="str">
        <x:v>Checkpoint manifest + hashes + rollback evidence; Session/channel state sem credencial no contexto; Knowledge/Evidence Graph com proveniência; Estado operacional persistente em PostgreSQL</x:v>
      </x:c>
      <x:c r="V38" s="14" t="str">
        <x:v>agent.postgresql.agent.started / .completed / .failed + evidence.ledger.recorded</x:v>
      </x:c>
      <x:c r="W38" s="14" t="str">
        <x:v>Least privilege; write sensível, gasto, publicação, privilégio ou ação destrutiva exigem gate explícito.</x:v>
      </x:c>
      <x:c r="X38" s="14" t="str">
        <x:v>Architect (MIT) — AST/Tree-sitter/Repo Intelligence | Hermes — patterns; validar licença por versão | OpenClaw — gateway/nodes/channels; validar licença por versão</x:v>
      </x:c>
    </x:row>
    <x:row r="39" ht="62" customHeight="1">
      <x:c r="A39" s="14" t="n">
        <x:v>38</x:v>
      </x:c>
      <x:c r="B39" s="14" t="str">
        <x:v>Engenharia &amp; Arquitetura</x:v>
      </x:c>
      <x:c r="C39" s="14" t="str">
        <x:v>Migração</x:v>
      </x:c>
      <x:c r="D39" s="14" t="str">
        <x:v>Octopus Agent</x:v>
      </x:c>
      <x:c r="E39" s="14" t="str">
        <x:v>Agente de modernização</x:v>
      </x:c>
      <x:c r="F39" s="14" t="str">
        <x:v>Converte linguagens/sistemas legados em Phoenix IR e aplicações Phoenix.</x:v>
      </x:c>
      <x:c r="G39" s="14" t="str">
        <x:v>Coordena frontends, semantic mapping, compatibility layers, assets/UI migration, ambiguity handling e geração de provas.</x:v>
      </x:c>
      <x:c r="H39" s="14" t="str">
        <x:v>Parsers, language specs, Phoenix IR, migration corpus, LLM edge.</x:v>
      </x:c>
      <x:c r="I39" s="14" t="str">
        <x:v>Converter, mapear, sinalizar desconhecidos, gerar tests/migration report.</x:v>
      </x:c>
      <x:c r="J39" s="14" t="str">
        <x:v>Projeto legado ou novo frontend de linguagem.</x:v>
      </x:c>
      <x:c r="K39" s="14" t="str">
        <x:v>Source code, specs e mapping rules.</x:v>
      </x:c>
      <x:c r="L39" s="14" t="str">
        <x:v>Phoenix IR + report + tests.</x:v>
      </x:c>
      <x:c r="M39" s="14" t="str">
        <x:v>LLM só resolve bordas; transformações determinísticas permanecem no compiler.</x:v>
      </x:c>
      <x:c r="N39" s="14" t="str">
        <x:v>Migration Guardian/Compatibility/OPA.</x:v>
      </x:c>
      <x:c r="O39" s="14" t="str">
        <x:v>Sob demanda</x:v>
      </x:c>
      <x:c r="P39" s="14" t="str">
        <x:v>Codex/Claude</x:v>
      </x:c>
      <x:c r="Q39" s="14" t="str">
        <x:v>Crítica</x:v>
      </x:c>
      <x:c r="R39" s="14" t="str">
        <x:v>01a0e473-f626-7e15-8998-5083b3ec2423</x:v>
      </x:c>
      <x:c r="S39" s="14" t="str">
        <x:v>F15 Skill Runtime + Memory/Context Engine | F17 Checkpoint + Rollback | F19 Repo Intelligence / Tree-sitter | F22 Device Nodes</x:v>
      </x:c>
      <x:c r="T39" s="14" t="str">
        <x:v>migration.legacy.modernize</x:v>
      </x:c>
      <x:c r="U39" s="14" t="str">
        <x:v>Skills versionadas; promoção só após prova; Memory/Context sob escopo; Context Pack mínimo; Checkpoint manifest + hashes + rollback evidence; Node/session state efêmero e pareado</x:v>
      </x:c>
      <x:c r="V39" s="14" t="str">
        <x:v>agent.octopus.agent.started / .completed / .failed + evidence.ledger.recorded</x:v>
      </x:c>
      <x:c r="W39" s="14" t="str">
        <x:v>Least privilege; write sensível, gasto, publicação, privilégio ou ação destrutiva exigem gate explícito. Device input/screen exige autorização de sessão e logging.</x:v>
      </x:c>
      <x:c r="X39" s="14" t="str">
        <x:v>Architect (MIT) — AST/Tree-sitter/Repo Intelligence | oh-my-claudecode (MIT) — multiagentes/jobs/skills/router | Hermes — patterns; validar licença por versão</x:v>
      </x:c>
    </x:row>
    <x:row r="40" ht="62" customHeight="1">
      <x:c r="A40" s="14" t="n">
        <x:v>39</x:v>
      </x:c>
      <x:c r="B40" s="14" t="str">
        <x:v>Dados &amp; Integrações</x:v>
      </x:c>
      <x:c r="C40" s="14" t="str">
        <x:v>Localização</x:v>
      </x:c>
      <x:c r="D40" s="14" t="str">
        <x:v>Localization / NSL Agent</x:v>
      </x:c>
      <x:c r="E40" s="14" t="str">
        <x:v>Agente i18n/NSL</x:v>
      </x:c>
      <x:c r="F40" s="14" t="str">
        <x:v>Centraliza mensagens e impede textos internacionalizáveis chumbados no código.</x:v>
      </x:c>
      <x:c r="G40" s="14" t="str">
        <x:v>Mantém resource keys, catálogos pt-BR/en/etc., placeholders, pluralização, fallback, scanner e consistency checks.</x:v>
      </x:c>
      <x:c r="H40" s="14" t="str">
        <x:v>Locale catalogs, PHX JSON, source scanner, UI.</x:v>
      </x:c>
      <x:c r="I40" s="14" t="str">
        <x:v>Extrair strings, validar keys, criar traduções e bloquear hardcode.</x:v>
      </x:c>
      <x:c r="J40" s="14" t="str">
        <x:v>Feature com texto de usuário ou nova língua.</x:v>
      </x:c>
      <x:c r="K40" s="14" t="str">
        <x:v>UI/API messages e locale policy.</x:v>
      </x:c>
      <x:c r="L40" s="14" t="str">
        <x:v>Catálogos + i18n report.</x:v>
      </x:c>
      <x:c r="M40" s="14" t="str">
        <x:v>Não altera significado funcional sem revisão.</x:v>
      </x:c>
      <x:c r="N40" s="14" t="str">
        <x:v>Accessibility/User Proof/QA.</x:v>
      </x:c>
      <x:c r="O40" s="14" t="str">
        <x:v>Permanente</x:v>
      </x:c>
      <x:c r="P40" s="14" t="str">
        <x:v>Ollama</x:v>
      </x:c>
      <x:c r="Q40" s="14" t="str">
        <x:v>Alta</x:v>
      </x:c>
      <x:c r="R40" s="14" t="str">
        <x:v>01a0e473-f627-75ee-a2ef-53a64bb8f06a</x:v>
      </x:c>
      <x:c r="S40" s="14" t="str">
        <x:v>F18 MCP + LSP Runtime | F21 Channel Gateway | F25 Knowledge / Evidence Graph</x:v>
      </x:c>
      <x:c r="T40" s="14" t="str">
        <x:v>i18n.localize</x:v>
      </x:c>
      <x:c r="U40" s="14" t="str">
        <x:v>Session/channel state sem credencial no contexto; Knowledge/Evidence Graph com proveniência; Estado operacional persistente em PostgreSQL</x:v>
      </x:c>
      <x:c r="V40" s="14" t="str">
        <x:v>agent.localization.nsl.agent.started / .completed / .failed + evidence.ledger.recorded</x:v>
      </x:c>
      <x:c r="W40" s="14" t="str">
        <x:v>Least privilege; writes policy-gated; evidência obrigatória; sem autoaprovação.</x:v>
      </x:c>
      <x:c r="X40" s="14" t="str">
        <x:v>OpenClaw — gateway/nodes/channels; validar licença por versão | ZeroClaw — benchmark Rust/providers/tools | Claw Code Rust — referência técnica/clean-room</x:v>
      </x:c>
    </x:row>
    <x:row r="41" ht="62" customHeight="1">
      <x:c r="A41" s="14" t="n">
        <x:v>40</x:v>
      </x:c>
      <x:c r="B41" s="14" t="str">
        <x:v>Qualidade &amp; Provas</x:v>
      </x:c>
      <x:c r="C41" s="14" t="str">
        <x:v>Qualidade</x:v>
      </x:c>
      <x:c r="D41" s="14" t="str">
        <x:v>Unit Test Agent</x:v>
      </x:c>
      <x:c r="E41" s="14" t="str">
        <x:v>Subagente de teste</x:v>
      </x:c>
      <x:c r="F41" s="14" t="str">
        <x:v>Valida funções e unidades isoladas com rapidez e determinismo.</x:v>
      </x:c>
      <x:c r="G41" s="14" t="str">
        <x:v>Cria casos normais, bordas, erros, property tests simples e cobertura de invariantes locais.</x:v>
      </x:c>
      <x:c r="H41" s="14" t="str">
        <x:v>cargo test, fixtures, mocks mínimos.</x:v>
      </x:c>
      <x:c r="I41" s="14" t="str">
        <x:v>Escrever/rodar unit tests e registrar resultados.</x:v>
      </x:c>
      <x:c r="J41" s="14" t="str">
        <x:v>Nova função/módulo ou bug local.</x:v>
      </x:c>
      <x:c r="K41" s="14" t="str">
        <x:v>Acceptance Criteria e API.</x:v>
      </x:c>
      <x:c r="L41" s="14" t="str">
        <x:v>Unit test report.</x:v>
      </x:c>
      <x:c r="M41" s="14" t="str">
        <x:v>Não substitui integração/E2E.</x:v>
      </x:c>
      <x:c r="N41" s="14" t="str">
        <x:v>Jones / QA1.</x:v>
      </x:c>
      <x:c r="O41" s="14" t="str">
        <x:v>Sob demanda</x:v>
      </x:c>
      <x:c r="P41" s="14" t="str">
        <x:v>Ollama/Codex</x:v>
      </x:c>
      <x:c r="Q41" s="14" t="str">
        <x:v>Média</x:v>
      </x:c>
      <x:c r="R41" s="14" t="str">
        <x:v>01a0e473-f628-7932-8302-5aec809de110</x:v>
      </x:c>
      <x:c r="S41" s="14" t="str">
        <x:v>F15 Skill Runtime + Memory/Context Engine | F18 MCP + LSP Runtime</x:v>
      </x:c>
      <x:c r="T41" s="14" t="str">
        <x:v>quality.unit.test</x:v>
      </x:c>
      <x:c r="U41" s="14" t="str">
        <x:v>Skills versionadas; promoção só após prova; Memory/Context sob escopo; Context Pack mínimo</x:v>
      </x:c>
      <x:c r="V41" s="14" t="str">
        <x:v>agent.unit.test.agent.started / .completed / .failed + evidence.ledger.recorded</x:v>
      </x:c>
      <x:c r="W41" s="14" t="str">
        <x:v>Sandbox por padrão; capabilities escopadas; sem secrets diretos.</x:v>
      </x:c>
      <x:c r="X41" s="14" t="str">
        <x:v>oh-my-claudecode (MIT) — multiagentes/jobs/skills/router | Hermes — patterns; validar licença por versão | ZeroClaw — benchmark Rust/providers/tools</x:v>
      </x:c>
    </x:row>
    <x:row r="42" ht="62" customHeight="1">
      <x:c r="A42" s="14" t="n">
        <x:v>41</x:v>
      </x:c>
      <x:c r="B42" s="14" t="str">
        <x:v>Qualidade &amp; Provas</x:v>
      </x:c>
      <x:c r="C42" s="14" t="str">
        <x:v>Qualidade</x:v>
      </x:c>
      <x:c r="D42" s="14" t="str">
        <x:v>Integration Test Agent</x:v>
      </x:c>
      <x:c r="E42" s="14" t="str">
        <x:v>Subagente de teste</x:v>
      </x:c>
      <x:c r="F42" s="14" t="str">
        <x:v>Valida contratos e interação entre módulos/serviços.</x:v>
      </x:c>
      <x:c r="G42" s="14" t="str">
        <x:v>Testa DB, APIs, plugins, event/command pipelines e limites entre crates com ambiente controlado.</x:v>
      </x:c>
      <x:c r="H42" s="14" t="str">
        <x:v>test DB, containers, service mocks, contract tests.</x:v>
      </x:c>
      <x:c r="I42" s="14" t="str">
        <x:v>Montar ambiente e executar integração.</x:v>
      </x:c>
      <x:c r="J42" s="14" t="str">
        <x:v>Mudança cross-module.</x:v>
      </x:c>
      <x:c r="K42" s="14" t="str">
        <x:v>Contracts + builds.</x:v>
      </x:c>
      <x:c r="L42" s="14" t="str">
        <x:v>Integration report.</x:v>
      </x:c>
      <x:c r="M42" s="14" t="str">
        <x:v>Não usa mocks onde o objetivo exige integração real.</x:v>
      </x:c>
      <x:c r="N42" s="14" t="str">
        <x:v>QA2.</x:v>
      </x:c>
      <x:c r="O42" s="14" t="str">
        <x:v>Sob demanda</x:v>
      </x:c>
      <x:c r="P42" s="14" t="str">
        <x:v>Codex</x:v>
      </x:c>
      <x:c r="Q42" s="14" t="str">
        <x:v>Alta</x:v>
      </x:c>
      <x:c r="R42" s="14" t="str">
        <x:v>01a0e473-f629-769b-bb50-4313738edb4d</x:v>
      </x:c>
      <x:c r="S42" s="14" t="str">
        <x:v>F16 Scheduler + Background Jobs | F18 MCP + LSP Runtime | F21 Channel Gateway</x:v>
      </x:c>
      <x:c r="T42" s="14" t="str">
        <x:v>quality.integration.test</x:v>
      </x:c>
      <x:c r="U42" s="14" t="str">
        <x:v>Job UUIDv7 + lease/heartbeat/resume em PostgreSQL; Session/channel state sem credencial no contexto</x:v>
      </x:c>
      <x:c r="V42" s="14" t="str">
        <x:v>agent.integration.test.agent.started / .completed / .failed + evidence.ledger.recorded</x:v>
      </x:c>
      <x:c r="W42" s="14" t="str">
        <x:v>Least privilege; writes policy-gated; evidência obrigatória; sem autoaprovação.</x:v>
      </x:c>
      <x:c r="X42" s="14" t="str">
        <x:v>oh-my-claudecode (MIT) — multiagentes/jobs/skills/router | Hermes — patterns; validar licença por versão | OpenClaw — gateway/nodes/channels; validar licença por versão</x:v>
      </x:c>
    </x:row>
    <x:row r="43" ht="62" customHeight="1">
      <x:c r="A43" s="14" t="n">
        <x:v>42</x:v>
      </x:c>
      <x:c r="B43" s="14" t="str">
        <x:v>Qualidade &amp; Provas</x:v>
      </x:c>
      <x:c r="C43" s="14" t="str">
        <x:v>Qualidade</x:v>
      </x:c>
      <x:c r="D43" s="14" t="str">
        <x:v>E2E Agent</x:v>
      </x:c>
      <x:c r="E43" s="14" t="str">
        <x:v>Subagente de teste</x:v>
      </x:c>
      <x:c r="F43" s="14" t="str">
        <x:v>Prova jornadas completas do usuário/sistema do início ao fim.</x:v>
      </x:c>
      <x:c r="G43" s="14" t="str">
        <x:v>Executa flows reais, valida persistência e efeitos observáveis, coleta screenshots/traces/logs.</x:v>
      </x:c>
      <x:c r="H43" s="14" t="str">
        <x:v>Playwright, app build, DB, test environment.</x:v>
      </x:c>
      <x:c r="I43" s="14" t="str">
        <x:v>Executar jornada e produzir evidência.</x:v>
      </x:c>
      <x:c r="J43" s="14" t="str">
        <x:v>Feature pronta para validação funcional.</x:v>
      </x:c>
      <x:c r="K43" s="14" t="str">
        <x:v>Acceptance Criteria e release candidate.</x:v>
      </x:c>
      <x:c r="L43" s="14" t="str">
        <x:v>E2E evidence.</x:v>
      </x:c>
      <x:c r="M43" s="14" t="str">
        <x:v>Não reduz cenário ao nível de API quando objetivo é UI real.</x:v>
      </x:c>
      <x:c r="N43" s="14" t="str">
        <x:v>OPA/QA3.</x:v>
      </x:c>
      <x:c r="O43" s="14" t="str">
        <x:v>Sob demanda</x:v>
      </x:c>
      <x:c r="P43" s="14" t="str">
        <x:v>Codex/Ollama</x:v>
      </x:c>
      <x:c r="Q43" s="14" t="str">
        <x:v>Alta</x:v>
      </x:c>
      <x:c r="R43" s="14" t="str">
        <x:v>01a0e473-f62a-7c4c-8c76-539596e38bd3</x:v>
      </x:c>
      <x:c r="S43" s="14" t="str">
        <x:v>F15 Skill Runtime + Memory/Context Engine | F22 Device Nodes</x:v>
      </x:c>
      <x:c r="T43" s="14" t="str">
        <x:v>quality.e2e.test</x:v>
      </x:c>
      <x:c r="U43" s="14" t="str">
        <x:v>Skills versionadas; promoção só após prova; Memory/Context sob escopo; Context Pack mínimo; Node/session state efêmero e pareado</x:v>
      </x:c>
      <x:c r="V43" s="14" t="str">
        <x:v>agent.e2e.agent.started / .completed / .failed + evidence.ledger.recorded</x:v>
      </x:c>
      <x:c r="W43" s="14" t="str">
        <x:v>Least privilege; writes policy-gated; evidência obrigatória; sem autoaprovação. Device input/screen exige autorização de sessão e logging.</x:v>
      </x:c>
      <x:c r="X43" s="14" t="str">
        <x:v>oh-my-claudecode (MIT) — multiagentes/jobs/skills/router | Hermes — patterns; validar licença por versão | OpenClaw — gateway/nodes/channels; validar licença por versão</x:v>
      </x:c>
    </x:row>
    <x:row r="44" ht="62" customHeight="1">
      <x:c r="A44" s="14" t="n">
        <x:v>43</x:v>
      </x:c>
      <x:c r="B44" s="14" t="str">
        <x:v>Qualidade &amp; Provas</x:v>
      </x:c>
      <x:c r="C44" s="14" t="str">
        <x:v>Qualidade</x:v>
      </x:c>
      <x:c r="D44" s="14" t="str">
        <x:v>Browser/WASM Test Agent</x:v>
      </x:c>
      <x:c r="E44" s="14" t="str">
        <x:v>Subagente de teste</x:v>
      </x:c>
      <x:c r="F44" s="14" t="str">
        <x:v>Valida targets WebAssembly nos navegadores suportados.</x:v>
      </x:c>
      <x:c r="G44" s="14" t="str">
        <x:v>Roda Chromium/Firefox/WebKit, testa carregamento, JS/WASM boundary, WebGPU fallback, storage, input e performance básica.</x:v>
      </x:c>
      <x:c r="H44" s="14" t="str">
        <x:v>Playwright, wasm-tools, browsers, test server.</x:v>
      </x:c>
      <x:c r="I44" s="14" t="str">
        <x:v>Executar browser matrix e coletar traces.</x:v>
      </x:c>
      <x:c r="J44" s="14" t="str">
        <x:v>Mudança WASM/Web.</x:v>
      </x:c>
      <x:c r="K44" s="14" t="str">
        <x:v>WASM build e target matrix.</x:v>
      </x:c>
      <x:c r="L44" s="14" t="str">
        <x:v>Browser compatibility report.</x:v>
      </x:c>
      <x:c r="M44" s="14" t="str">
        <x:v>Não assume um browser como representativo dos demais.</x:v>
      </x:c>
      <x:c r="N44" s="14" t="str">
        <x:v>Compatibility/QA2.</x:v>
      </x:c>
      <x:c r="O44" s="14" t="str">
        <x:v>Sob demanda</x:v>
      </x:c>
      <x:c r="P44" s="14" t="str">
        <x:v>Ollama/Codex</x:v>
      </x:c>
      <x:c r="Q44" s="14" t="str">
        <x:v>Alta</x:v>
      </x:c>
      <x:c r="R44" s="14" t="str">
        <x:v>01a0e473-f62b-72ef-88da-f7c5dd2b33f9</x:v>
      </x:c>
      <x:c r="S44" s="14" t="str">
        <x:v>F17 Checkpoint + Rollback | F22 Device Nodes</x:v>
      </x:c>
      <x:c r="T44" s="14" t="str">
        <x:v>quality.browser_wasm.test</x:v>
      </x:c>
      <x:c r="U44" s="14" t="str">
        <x:v>Checkpoint manifest + hashes + rollback evidence; Node/session state efêmero e pareado</x:v>
      </x:c>
      <x:c r="V44" s="14" t="str">
        <x:v>agent.browser.wasm.test.agent.started / .completed / .failed + evidence.ledger.recorded</x:v>
      </x:c>
      <x:c r="W44" s="14" t="str">
        <x:v>Least privilege; writes policy-gated; evidência obrigatória; sem autoaprovação. Device input/screen exige autorização de sessão e logging.</x:v>
      </x:c>
      <x:c r="X44" s="14" t="str">
        <x:v>Hermes — patterns; validar licença por versão | OpenClaw — gateway/nodes/channels; validar licença por versão | ZeroClaw — benchmark Rust/providers/tools</x:v>
      </x:c>
    </x:row>
    <x:row r="45" ht="62" customHeight="1">
      <x:c r="A45" s="14" t="n">
        <x:v>44</x:v>
      </x:c>
      <x:c r="B45" s="14" t="str">
        <x:v>Qualidade &amp; Provas</x:v>
      </x:c>
      <x:c r="C45" s="14" t="str">
        <x:v>Qualidade</x:v>
      </x:c>
      <x:c r="D45" s="14" t="str">
        <x:v>Regression Agent</x:v>
      </x:c>
      <x:c r="E45" s="14" t="str">
        <x:v>Subagente de teste</x:v>
      </x:c>
      <x:c r="F45" s="14" t="str">
        <x:v>Impede que bugs conhecidos e comportamentos aceitos retornem.</x:v>
      </x:c>
      <x:c r="G45" s="14" t="str">
        <x:v>Mantém catálogo de regressões, vincula bug→test, executa suites históricas e minimiza flakiness.</x:v>
      </x:c>
      <x:c r="H45" s="14" t="str">
        <x:v>Bug database, tests, CI history.</x:v>
      </x:c>
      <x:c r="I45" s="14" t="str">
        <x:v>Executar regressão e abrir bloqueio se caso histórico falhar.</x:v>
      </x:c>
      <x:c r="J45" s="14" t="str">
        <x:v>Toda correção e release.</x:v>
      </x:c>
      <x:c r="K45" s="14" t="str">
        <x:v>Regression catalog.</x:v>
      </x:c>
      <x:c r="L45" s="14" t="str">
        <x:v>Regression report.</x:v>
      </x:c>
      <x:c r="M45" s="14" t="str">
        <x:v>Não remove teste histórico sem justificativa e aprovação.</x:v>
      </x:c>
      <x:c r="N45" s="14" t="str">
        <x:v>QA2/Release.</x:v>
      </x:c>
      <x:c r="O45" s="14" t="str">
        <x:v>Permanente</x:v>
      </x:c>
      <x:c r="P45" s="14" t="str">
        <x:v>Ollama</x:v>
      </x:c>
      <x:c r="Q45" s="14" t="str">
        <x:v>Alta</x:v>
      </x:c>
      <x:c r="R45" s="14" t="str">
        <x:v>01a0e473-f62c-74a3-a753-db209bca4317</x:v>
      </x:c>
      <x:c r="S45" s="14" t="str">
        <x:v>F22 Device Nodes</x:v>
      </x:c>
      <x:c r="T45" s="14" t="str">
        <x:v>quality.regression.test</x:v>
      </x:c>
      <x:c r="U45" s="14" t="str">
        <x:v>Node/session state efêmero e pareado; Estado operacional persistente em PostgreSQL</x:v>
      </x:c>
      <x:c r="V45" s="14" t="str">
        <x:v>agent.regression.agent.started / .completed / .failed + evidence.ledger.recorded</x:v>
      </x:c>
      <x:c r="W45" s="14" t="str">
        <x:v>Least privilege; writes policy-gated; evidência obrigatória; sem autoaprovação. Device input/screen exige autorização de sessão e logging.</x:v>
      </x:c>
      <x:c r="X45" s="14" t="str">
        <x:v>OpenClaw — gateway/nodes/channels; validar licença por versão | ZeroClaw — benchmark Rust/providers/tools</x:v>
      </x:c>
    </x:row>
    <x:row r="46" ht="62" customHeight="1">
      <x:c r="A46" s="14" t="n">
        <x:v>45</x:v>
      </x:c>
      <x:c r="B46" s="14" t="str">
        <x:v>Qualidade &amp; Provas</x:v>
      </x:c>
      <x:c r="C46" s="14" t="str">
        <x:v>Qualidade</x:v>
      </x:c>
      <x:c r="D46" s="14" t="str">
        <x:v>Fuzz Agent</x:v>
      </x:c>
      <x:c r="E46" s="14" t="str">
        <x:v>Subagente de teste</x:v>
      </x:c>
      <x:c r="F46" s="14" t="str">
        <x:v>Descobre crashes e inconsistências com entradas inesperadas.</x:v>
      </x:c>
      <x:c r="G46" s="14" t="str">
        <x:v>Gera entradas aleatórias/estruturadas, executa fuzzing, minimiza testcase e cria regression seed.</x:v>
      </x:c>
      <x:c r="H46" s="14" t="str">
        <x:v>cargo-fuzz/libFuzzer, parsers, corpora.</x:v>
      </x:c>
      <x:c r="I46" s="14" t="str">
        <x:v>Fuzz, minimizar crash, registrar seed.</x:v>
      </x:c>
      <x:c r="J46" s="14" t="str">
        <x:v>Parsers, codecs, schemas, protocolos e código crítico.</x:v>
      </x:c>
      <x:c r="K46" s="14" t="str">
        <x:v>Target fuzzável e invariantes.</x:v>
      </x:c>
      <x:c r="L46" s="14" t="str">
        <x:v>Crash/minimized testcase/evidence.</x:v>
      </x:c>
      <x:c r="M46" s="14" t="str">
        <x:v>Não usa fuzz como substituto de especificação.</x:v>
      </x:c>
      <x:c r="N46" s="14" t="str">
        <x:v>Brown/Jones/Security.</x:v>
      </x:c>
      <x:c r="O46" s="14" t="str">
        <x:v>Sob demanda</x:v>
      </x:c>
      <x:c r="P46" s="14" t="str">
        <x:v>Determinístico/Ollama</x:v>
      </x:c>
      <x:c r="Q46" s="14" t="str">
        <x:v>Alta</x:v>
      </x:c>
      <x:c r="R46" s="14" t="str">
        <x:v>01a0e473-f62d-7437-9b52-a3e942163219</x:v>
      </x:c>
      <x:c r="S46" s="14" t="str">
        <x:v>F15 Skill Runtime + Memory/Context Engine</x:v>
      </x:c>
      <x:c r="T46" s="14" t="str">
        <x:v>quality.fuzz.test</x:v>
      </x:c>
      <x:c r="U46" s="14" t="str">
        <x:v>Skills versionadas; promoção só após prova; Memory/Context sob escopo; Context Pack mínimo</x:v>
      </x:c>
      <x:c r="V46" s="14" t="str">
        <x:v>agent.fuzz.agent.started / .completed / .failed + evidence.ledger.recorded</x:v>
      </x:c>
      <x:c r="W46" s="14" t="str">
        <x:v>Least privilege; writes policy-gated; evidência obrigatória; sem autoaprovação.</x:v>
      </x:c>
      <x:c r="X46" s="14" t="str">
        <x:v>oh-my-claudecode (MIT) — multiagentes/jobs/skills/router | Hermes — patterns; validar licença por versão</x:v>
      </x:c>
    </x:row>
    <x:row r="47" ht="62" customHeight="1">
      <x:c r="A47" s="14" t="n">
        <x:v>46</x:v>
      </x:c>
      <x:c r="B47" s="14" t="str">
        <x:v>Qualidade &amp; Provas</x:v>
      </x:c>
      <x:c r="C47" s="14" t="str">
        <x:v>Qualidade</x:v>
      </x:c>
      <x:c r="D47" s="14" t="str">
        <x:v>Visual Regression Agent</x:v>
      </x:c>
      <x:c r="E47" s="14" t="str">
        <x:v>Subagente de teste</x:v>
      </x:c>
      <x:c r="F47" s="14" t="str">
        <x:v>Detecta mudanças visuais não intencionais em telas e componentes.</x:v>
      </x:c>
      <x:c r="G47" s="14" t="str">
        <x:v>Captura baseline, compara pixels/estrutura, trata tolerâncias e vincula mudança a template/version.</x:v>
      </x:c>
      <x:c r="H47" s="14" t="str">
        <x:v>Playwright screenshots, render captures, diff tooling.</x:v>
      </x:c>
      <x:c r="I47" s="14" t="str">
        <x:v>Comparar e classificar diffs visuais.</x:v>
      </x:c>
      <x:c r="J47" s="14" t="str">
        <x:v>Mudança UI/template/theme.</x:v>
      </x:c>
      <x:c r="K47" s="14" t="str">
        <x:v>Approved baseline.</x:v>
      </x:c>
      <x:c r="L47" s="14" t="str">
        <x:v>Visual diff evidence.</x:v>
      </x:c>
      <x:c r="M47" s="14" t="str">
        <x:v>Não aprova mudança estética sozinho.</x:v>
      </x:c>
      <x:c r="N47" s="14" t="str">
        <x:v>Creative/QA2.</x:v>
      </x:c>
      <x:c r="O47" s="14" t="str">
        <x:v>Sob demanda</x:v>
      </x:c>
      <x:c r="P47" s="14" t="str">
        <x:v>Ollama</x:v>
      </x:c>
      <x:c r="Q47" s="14" t="str">
        <x:v>Média</x:v>
      </x:c>
      <x:c r="R47" s="14" t="str">
        <x:v>01a0e473-f62e-76dd-9584-db8fba3cc8c4</x:v>
      </x:c>
      <x:c r="S47" s="14" t="str">
        <x:v>F17 Checkpoint + Rollback</x:v>
      </x:c>
      <x:c r="T47" s="14" t="str">
        <x:v>quality.regression.test</x:v>
      </x:c>
      <x:c r="U47" s="14" t="str">
        <x:v>Checkpoint manifest + hashes + rollback evidence</x:v>
      </x:c>
      <x:c r="V47" s="14" t="str">
        <x:v>agent.visual.regression.agent.started / .completed / .failed + evidence.ledger.recorded</x:v>
      </x:c>
      <x:c r="W47" s="14" t="str">
        <x:v>Sandbox por padrão; capabilities escopadas; sem secrets diretos.</x:v>
      </x:c>
      <x:c r="X47" s="14" t="str">
        <x:v>Hermes — patterns; validar licença por versão</x:v>
      </x:c>
    </x:row>
    <x:row r="48" ht="62" customHeight="1">
      <x:c r="A48" s="14" t="n">
        <x:v>47</x:v>
      </x:c>
      <x:c r="B48" s="14" t="str">
        <x:v>Qualidade &amp; Provas</x:v>
      </x:c>
      <x:c r="C48" s="14" t="str">
        <x:v>Qualidade</x:v>
      </x:c>
      <x:c r="D48" s="14" t="str">
        <x:v>Performance Test Agent</x:v>
      </x:c>
      <x:c r="E48" s="14" t="str">
        <x:v>Subagente de teste</x:v>
      </x:c>
      <x:c r="F48" s="14" t="str">
        <x:v>Mede performance independentemente de quem implementou.</x:v>
      </x:c>
      <x:c r="G48" s="14" t="str">
        <x:v>Executa benchmarks padronizados, compara baseline/release, identifica regressão e variância.</x:v>
      </x:c>
      <x:c r="H48" s="14" t="str">
        <x:v>Criterion, hyperfine, telemetry, benchmark DB.</x:v>
      </x:c>
      <x:c r="I48" s="14" t="str">
        <x:v>Rodar perf suite e gate thresholds.</x:v>
      </x:c>
      <x:c r="J48" s="14" t="str">
        <x:v>Mudança em hot path/release.</x:v>
      </x:c>
      <x:c r="K48" s="14" t="str">
        <x:v>Benchmark definitions.</x:v>
      </x:c>
      <x:c r="L48" s="14" t="str">
        <x:v>Performance Gate.</x:v>
      </x:c>
      <x:c r="M48" s="14" t="str">
        <x:v>Não altera benchmark para fazer resultado parecer melhor.</x:v>
      </x:c>
      <x:c r="N48" s="14" t="str">
        <x:v>Jackson/QA2.</x:v>
      </x:c>
      <x:c r="O48" s="14" t="str">
        <x:v>Sob demanda</x:v>
      </x:c>
      <x:c r="P48" s="14" t="str">
        <x:v>Determinístico/Ollama</x:v>
      </x:c>
      <x:c r="Q48" s="14" t="str">
        <x:v>Alta</x:v>
      </x:c>
      <x:c r="R48" s="14" t="str">
        <x:v>01a0e473-f62f-7ac4-bbff-acbe3d50586d</x:v>
      </x:c>
      <x:c r="S48" s="14" t="str">
        <x:v>F17 Checkpoint + Rollback</x:v>
      </x:c>
      <x:c r="T48" s="14" t="str">
        <x:v>quality.performance.test</x:v>
      </x:c>
      <x:c r="U48" s="14" t="str">
        <x:v>Checkpoint manifest + hashes + rollback evidence</x:v>
      </x:c>
      <x:c r="V48" s="14" t="str">
        <x:v>agent.performance.test.agent.started / .completed / .failed + evidence.ledger.recorded</x:v>
      </x:c>
      <x:c r="W48" s="14" t="str">
        <x:v>Least privilege; writes policy-gated; evidência obrigatória; sem autoaprovação.</x:v>
      </x:c>
      <x:c r="X48" s="14" t="str">
        <x:v>Hermes — patterns; validar licença por versão</x:v>
      </x:c>
    </x:row>
    <x:row r="49" ht="62" customHeight="1">
      <x:c r="A49" s="14" t="n">
        <x:v>48</x:v>
      </x:c>
      <x:c r="B49" s="14" t="str">
        <x:v>Qualidade &amp; Provas</x:v>
      </x:c>
      <x:c r="C49" s="14" t="str">
        <x:v>Qualidade</x:v>
      </x:c>
      <x:c r="D49" s="14" t="str">
        <x:v>Security Test Agent</x:v>
      </x:c>
      <x:c r="E49" s="14" t="str">
        <x:v>Subagente de teste</x:v>
      </x:c>
      <x:c r="F49" s="14" t="str">
        <x:v>Valida controles de segurança por testes práticos autorizados.</x:v>
      </x:c>
      <x:c r="G49" s="14" t="str">
        <x:v>Testa authz, input, secrets, injection, filesystem/network boundaries, plugin sandbox e abuse cases.</x:v>
      </x:c>
      <x:c r="H49" s="14" t="str">
        <x:v>Security harness, fuzz, test identities, sandbox.</x:v>
      </x:c>
      <x:c r="I49" s="14" t="str">
        <x:v>Executar security tests e registrar exploit/repro.</x:v>
      </x:c>
      <x:c r="J49" s="14" t="str">
        <x:v>Superfície sensível ou release.</x:v>
      </x:c>
      <x:c r="K49" s="14" t="str">
        <x:v>Threat model e build.</x:v>
      </x:c>
      <x:c r="L49" s="14" t="str">
        <x:v>Security evidence.</x:v>
      </x:c>
      <x:c r="M49" s="14" t="str">
        <x:v>Atua só em ambientes autorizados.</x:v>
      </x:c>
      <x:c r="N49" s="14" t="str">
        <x:v>Thompson/QA3.</x:v>
      </x:c>
      <x:c r="O49" s="14" t="str">
        <x:v>Sob demanda</x:v>
      </x:c>
      <x:c r="P49" s="14" t="str">
        <x:v>Claude/Codex</x:v>
      </x:c>
      <x:c r="Q49" s="14" t="str">
        <x:v>Crítica</x:v>
      </x:c>
      <x:c r="R49" s="14" t="str">
        <x:v>01a0e473-f630-7221-98bb-b391fe065545</x:v>
      </x:c>
      <x:c r="S49" s="14" t="str">
        <x:v>F17 Checkpoint + Rollback | F22 Device Nodes | F23 Secret &amp; Credential Broker</x:v>
      </x:c>
      <x:c r="T49" s="14" t="str">
        <x:v>quality.security.test</x:v>
      </x:c>
      <x:c r="U49" s="14" t="str">
        <x:v>Checkpoint manifest + hashes + rollback evidence; Node/session state efêmero e pareado; Somente metadados de segredo; valores nunca em prompt/log</x:v>
      </x:c>
      <x:c r="V49" s="14" t="str">
        <x:v>agent.security.test.agent.started / .completed / .failed + evidence.ledger.recorded</x:v>
      </x:c>
      <x:c r="W49" s="14" t="str">
        <x:v>Least privilege; write sensível, gasto, publicação, privilégio ou ação destrutiva exigem gate explícito. Device input/screen exige autorização de sessão e logging. Credenciais via broker/leases; nunca em prompt.</x:v>
      </x:c>
      <x:c r="X49" s="14" t="str">
        <x:v>Hermes — patterns; validar licença por versão | OpenClaw — gateway/nodes/channels; validar licença por versão | ZeroClaw — benchmark Rust/providers/tools</x:v>
      </x:c>
    </x:row>
    <x:row r="50" ht="62" customHeight="1">
      <x:c r="A50" s="14" t="n">
        <x:v>49</x:v>
      </x:c>
      <x:c r="B50" s="14" t="str">
        <x:v>Qualidade &amp; Provas</x:v>
      </x:c>
      <x:c r="C50" s="14" t="str">
        <x:v>Prova</x:v>
      </x:c>
      <x:c r="D50" s="14" t="str">
        <x:v>Objective Proof Agent – OPA</x:v>
      </x:c>
      <x:c r="E50" s="14" t="str">
        <x:v>Agente avaliador de objetivo</x:v>
      </x:c>
      <x:c r="F50" s="14" t="str">
        <x:v>Comprova com prova real que a entrega cumpre o objetivo para o qual foi criada.</x:v>
      </x:c>
      <x:c r="G50" s="14" t="str">
        <x:v>Lê objetivo original/acceptance criteria, cria cenário real, executa sistema, mede resultado e liga evidências.</x:v>
      </x:c>
      <x:c r="H50" s="14" t="str">
        <x:v>E2E, DB, browser, artifacts, Evidence Graph.</x:v>
      </x:c>
      <x:c r="I50" s="14" t="str">
        <x:v>Executar Objective Proof e classificar PROVEN/FAILED.</x:v>
      </x:c>
      <x:c r="J50" s="14" t="str">
        <x:v>Após QA2 e antes de QA3.</x:v>
      </x:c>
      <x:c r="K50" s="14" t="str">
        <x:v>Requirement original e build candidato.</x:v>
      </x:c>
      <x:c r="L50" s="14" t="str">
        <x:v>Objective Proof Report reproduzível.</x:v>
      </x:c>
      <x:c r="M50" s="14" t="str">
        <x:v>Não aceita somente unit tests como prova de objetivo.</x:v>
      </x:c>
      <x:c r="N50" s="14" t="str">
        <x:v>QA3.</x:v>
      </x:c>
      <x:c r="O50" s="14" t="str">
        <x:v>Sob demanda</x:v>
      </x:c>
      <x:c r="P50" s="14" t="str">
        <x:v>Claude/Codex</x:v>
      </x:c>
      <x:c r="Q50" s="14" t="str">
        <x:v>Crítica</x:v>
      </x:c>
      <x:c r="R50" s="14" t="str">
        <x:v>01a0e473-f631-7976-acb2-61b914cf23ae</x:v>
      </x:c>
      <x:c r="S50" s="14" t="str">
        <x:v>F15 Skill Runtime + Memory/Context Engine | F25 Knowledge / Evidence Graph</x:v>
      </x:c>
      <x:c r="T50" s="14" t="str">
        <x:v>objective.prove</x:v>
      </x:c>
      <x:c r="U50" s="14" t="str">
        <x:v>Skills versionadas; promoção só após prova; Memory/Context sob escopo; Context Pack mínimo; Knowledge/Evidence Graph com proveniência</x:v>
      </x:c>
      <x:c r="V50" s="14" t="str">
        <x:v>agent.objective.proof.agent.opa.started / .completed / .failed + evidence.ledger.recorded</x:v>
      </x:c>
      <x:c r="W50" s="14" t="str">
        <x:v>Least privilege; write sensível, gasto, publicação, privilégio ou ação destrutiva exigem gate explícito.</x:v>
      </x:c>
      <x:c r="X50" s="14" t="str">
        <x:v>oh-my-claudecode (MIT) — multiagentes/jobs/skills/router | Hermes — patterns; validar licença por versão</x:v>
      </x:c>
    </x:row>
    <x:row r="51" ht="62" customHeight="1">
      <x:c r="A51" s="14" t="n">
        <x:v>50</x:v>
      </x:c>
      <x:c r="B51" s="14" t="str">
        <x:v>Qualidade &amp; Provas</x:v>
      </x:c>
      <x:c r="C51" s="14" t="str">
        <x:v>Qualidade</x:v>
      </x:c>
      <x:c r="D51" s="14" t="str">
        <x:v>QA Nível 1</x:v>
      </x:c>
      <x:c r="E51" s="14" t="str">
        <x:v>Gate de qualidade</x:v>
      </x:c>
      <x:c r="F51" s="14" t="str">
        <x:v>Valida qualidade da implementação individual.</x:v>
      </x:c>
      <x:c r="G51" s="14" t="str">
        <x:v>Confere compile, lint, unit tests, error handling, padrões, documentação mínima e conformidade local.</x:v>
      </x:c>
      <x:c r="H51" s="14" t="str">
        <x:v>Diff, CI, code standards, unit reports.</x:v>
      </x:c>
      <x:c r="I51" s="14" t="str">
        <x:v>Aprovar/rejeitar implementação local.</x:v>
      </x:c>
      <x:c r="J51" s="14" t="str">
        <x:v>Patch pronto.</x:v>
      </x:c>
      <x:c r="K51" s="14" t="str">
        <x:v>Patch + unit evidence.</x:v>
      </x:c>
      <x:c r="L51" s="14" t="str">
        <x:v>QA1 PASS/FAIL.</x:v>
      </x:c>
      <x:c r="M51" s="14" t="str">
        <x:v>Não substitui integração nem objetivo.</x:v>
      </x:c>
      <x:c r="N51" s="14" t="str">
        <x:v>QA2.</x:v>
      </x:c>
      <x:c r="O51" s="14" t="str">
        <x:v>Sob demanda</x:v>
      </x:c>
      <x:c r="P51" s="14" t="str">
        <x:v>Ollama/Claude</x:v>
      </x:c>
      <x:c r="Q51" s="14" t="str">
        <x:v>Alta</x:v>
      </x:c>
      <x:c r="R51" s="14" t="str">
        <x:v>01a0e473-f632-7358-9a30-45db2f4f7710</x:v>
      </x:c>
      <x:c r="S51" s="14" t="str">
        <x:v>F15 Skill Runtime + Memory/Context Engine | F20 Team Runtime | F25 Knowledge / Evidence Graph</x:v>
      </x:c>
      <x:c r="T51" s="14" t="str">
        <x:v>quality.gate.qa1</x:v>
      </x:c>
      <x:c r="U51" s="14" t="str">
        <x:v>Skills versionadas; promoção só após prova; Memory/Context sob escopo; Context Pack mínimo; Knowledge/Evidence Graph com proveniência</x:v>
      </x:c>
      <x:c r="V51" s="14" t="str">
        <x:v>agent.qa.nivel.1.started / .completed / .failed + evidence.ledger.recorded</x:v>
      </x:c>
      <x:c r="W51" s="14" t="str">
        <x:v>Least privilege; writes policy-gated; evidência obrigatória; sem autoaprovação.</x:v>
      </x:c>
      <x:c r="X51" s="14" t="str">
        <x:v>oh-my-claudecode (MIT) — multiagentes/jobs/skills/router | Hermes — patterns; validar licença por versão | ZeroClaw — benchmark Rust/providers/tools</x:v>
      </x:c>
    </x:row>
    <x:row r="52" ht="62" customHeight="1">
      <x:c r="A52" s="14" t="n">
        <x:v>51</x:v>
      </x:c>
      <x:c r="B52" s="14" t="str">
        <x:v>Qualidade &amp; Provas</x:v>
      </x:c>
      <x:c r="C52" s="14" t="str">
        <x:v>Qualidade</x:v>
      </x:c>
      <x:c r="D52" s="14" t="str">
        <x:v>QA Nível 2</x:v>
      </x:c>
      <x:c r="E52" s="14" t="str">
        <x:v>Gate de integração</x:v>
      </x:c>
      <x:c r="F52" s="14" t="str">
        <x:v>Valida impacto sistêmico, integração, regressão e compatibilidade.</x:v>
      </x:c>
      <x:c r="G52" s="14" t="str">
        <x:v>Confere módulos relacionados, IR/JSON, targets, DB, plugins, regressões e performance relevante.</x:v>
      </x:c>
      <x:c r="H52" s="14" t="str">
        <x:v>Integration/regression/compatibility reports.</x:v>
      </x:c>
      <x:c r="I52" s="14" t="str">
        <x:v>Aprovar/rejeitar integração.</x:v>
      </x:c>
      <x:c r="J52" s="14" t="str">
        <x:v>QA1 PASS.</x:v>
      </x:c>
      <x:c r="K52" s="14" t="str">
        <x:v>Evidências cross-system.</x:v>
      </x:c>
      <x:c r="L52" s="14" t="str">
        <x:v>QA2 PASS/FAIL.</x:v>
      </x:c>
      <x:c r="M52" s="14" t="str">
        <x:v>Não libera produto sem OPA/QA3.</x:v>
      </x:c>
      <x:c r="N52" s="14" t="str">
        <x:v>OPA.</x:v>
      </x:c>
      <x:c r="O52" s="14" t="str">
        <x:v>Sob demanda</x:v>
      </x:c>
      <x:c r="P52" s="14" t="str">
        <x:v>Claude</x:v>
      </x:c>
      <x:c r="Q52" s="14" t="str">
        <x:v>Crítica</x:v>
      </x:c>
      <x:c r="R52" s="14" t="str">
        <x:v>01a0e473-f633-7bb9-b8ee-90a4d9a45a4d</x:v>
      </x:c>
      <x:c r="S52" s="14" t="str">
        <x:v>F18 MCP + LSP Runtime | F19 Repo Intelligence / Tree-sitter | F20 Team Runtime | F25 Knowledge / Evidence Graph</x:v>
      </x:c>
      <x:c r="T52" s="14" t="str">
        <x:v>quality.gate.qa2</x:v>
      </x:c>
      <x:c r="U52" s="14" t="str">
        <x:v>Knowledge/Evidence Graph com proveniência</x:v>
      </x:c>
      <x:c r="V52" s="14" t="str">
        <x:v>agent.qa.nivel.2.started / .completed / .failed + evidence.ledger.recorded</x:v>
      </x:c>
      <x:c r="W52" s="14" t="str">
        <x:v>Least privilege; write sensível, gasto, publicação, privilégio ou ação destrutiva exigem gate explícito.</x:v>
      </x:c>
      <x:c r="X52" s="14" t="str">
        <x:v>Architect (MIT) — AST/Tree-sitter/Repo Intelligence | oh-my-claudecode (MIT) — multiagentes/jobs/skills/router | ZeroClaw — benchmark Rust/providers/tools</x:v>
      </x:c>
    </x:row>
    <x:row r="53" ht="62" customHeight="1">
      <x:c r="A53" s="14" t="n">
        <x:v>52</x:v>
      </x:c>
      <x:c r="B53" s="14" t="str">
        <x:v>Qualidade &amp; Provas</x:v>
      </x:c>
      <x:c r="C53" s="14" t="str">
        <x:v>Qualidade</x:v>
      </x:c>
      <x:c r="D53" s="14" t="str">
        <x:v>QA Nível 3</x:v>
      </x:c>
      <x:c r="E53" s="14" t="str">
        <x:v>Gate final</x:v>
      </x:c>
      <x:c r="F53" s="14" t="str">
        <x:v>Decide se a entrega está pronta para produto/release com base em todas as evidências.</x:v>
      </x:c>
      <x:c r="G53" s="14" t="str">
        <x:v>Avalia requisito, OPA, segurança, compatibilidade, documentação, performance, restore/reproducibility quando aplicável.</x:v>
      </x:c>
      <x:c r="H53" s="14" t="str">
        <x:v>Evidence Graph completo, QA1/QA2, OPA, release candidate.</x:v>
      </x:c>
      <x:c r="I53" s="14" t="str">
        <x:v>APPROVE, REJECT ou CONDITIONAL.</x:v>
      </x:c>
      <x:c r="J53" s="14" t="str">
        <x:v>Release candidate.</x:v>
      </x:c>
      <x:c r="K53" s="14" t="str">
        <x:v>Pacote completo de evidências.</x:v>
      </x:c>
      <x:c r="L53" s="14" t="str">
        <x:v>Gate final documentado.</x:v>
      </x:c>
      <x:c r="M53" s="14" t="str">
        <x:v>Não corrige código nem ignora evidência ausente.</x:v>
      </x:c>
      <x:c r="N53" s="14" t="str">
        <x:v>Versionador/Release Manager ou retorno.</x:v>
      </x:c>
      <x:c r="O53" s="14" t="str">
        <x:v>Sob demanda</x:v>
      </x:c>
      <x:c r="P53" s="14" t="str">
        <x:v>Claude</x:v>
      </x:c>
      <x:c r="Q53" s="14" t="str">
        <x:v>Crítica</x:v>
      </x:c>
      <x:c r="R53" s="14" t="str">
        <x:v>01a0e473-f634-742e-a532-1321918650db</x:v>
      </x:c>
      <x:c r="S53" s="14" t="str">
        <x:v>F15 Skill Runtime + Memory/Context Engine | F17 Checkpoint + Rollback | F19 Repo Intelligence / Tree-sitter | F20 Team Runtime | F22 Device Nodes | F23 Secret &amp; Credential Broker | F25 Knowledge / Evidence Graph</x:v>
      </x:c>
      <x:c r="T53" s="14" t="str">
        <x:v>quality.gate.qa3</x:v>
      </x:c>
      <x:c r="U53" s="14" t="str">
        <x:v>Skills versionadas; promoção só após prova; Memory/Context sob escopo; Context Pack mínimo; Checkpoint manifest + hashes + rollback evidence; Node/session state efêmero e pareado</x:v>
      </x:c>
      <x:c r="V53" s="14" t="str">
        <x:v>agent.qa.nivel.3.started / .completed / .failed + evidence.ledger.recorded</x:v>
      </x:c>
      <x:c r="W53" s="14" t="str">
        <x:v>Least privilege; write sensível, gasto, publicação, privilégio ou ação destrutiva exigem gate explícito. Device input/screen exige autorização de sessão e logging. Credenciais via broker/leases; nunca em prompt.</x:v>
      </x:c>
      <x:c r="X53" s="14" t="str">
        <x:v>Architect (MIT) — AST/Tree-sitter/Repo Intelligence | oh-my-claudecode (MIT) — multiagentes/jobs/skills/router | Hermes — patterns; validar licença por versão</x:v>
      </x:c>
    </x:row>
    <x:row r="54" ht="62" customHeight="1">
      <x:c r="A54" s="14" t="n">
        <x:v>53</x:v>
      </x:c>
      <x:c r="B54" s="14" t="str">
        <x:v>Segurança &amp; Compliance</x:v>
      </x:c>
      <x:c r="C54" s="14" t="str">
        <x:v>Governança</x:v>
      </x:c>
      <x:c r="D54" s="14" t="str">
        <x:v>Guardian</x:v>
      </x:c>
      <x:c r="E54" s="14" t="str">
        <x:v>Guardião constitucional</x:v>
      </x:c>
      <x:c r="F54" s="14" t="str">
        <x:v>Protege a Constitution, ADRs e arquitetura contra drift.</x:v>
      </x:c>
      <x:c r="G54" s="14" t="str">
        <x:v>Analisa diffs e dependências, detecta vazamento de framework externo, bypass de UUIDv7, mudanças sem RFC e violações de modularidade/plugin-first.</x:v>
      </x:c>
      <x:c r="H54" s="14" t="str">
        <x:v>Constitution, ADR Registry, AST/diff, Dependency Graph.</x:v>
      </x:c>
      <x:c r="I54" s="14" t="str">
        <x:v>Bloquear merge, exigir RFC, registrar architecture drift.</x:v>
      </x:c>
      <x:c r="J54" s="14" t="str">
        <x:v>Toda mudança estrutural.</x:v>
      </x:c>
      <x:c r="K54" s="14" t="str">
        <x:v>Diff + rules.</x:v>
      </x:c>
      <x:c r="L54" s="14" t="str">
        <x:v>Architecture Gate.</x:v>
      </x:c>
      <x:c r="M54" s="14" t="str">
        <x:v>Não substitui Arquiteto/QA, mas pode bloquear.</x:v>
      </x:c>
      <x:c r="N54" s="14" t="str">
        <x:v>Arquiteto/PO/QA3.</x:v>
      </x:c>
      <x:c r="O54" s="14" t="str">
        <x:v>Permanente</x:v>
      </x:c>
      <x:c r="P54" s="14" t="str">
        <x:v>Determinístico/Claude</x:v>
      </x:c>
      <x:c r="Q54" s="14" t="str">
        <x:v>Crítica</x:v>
      </x:c>
      <x:c r="R54" s="14" t="str">
        <x:v>01a0e473-f635-7fb8-a692-79562cbd4ff6</x:v>
      </x:c>
      <x:c r="S54" s="14" t="str">
        <x:v>F19 Repo Intelligence / Tree-sitter | F20 Team Runtime | F22 Device Nodes | F23 Secret &amp; Credential Broker</x:v>
      </x:c>
      <x:c r="T54" s="14" t="str">
        <x:v>governance.constitution.enforce</x:v>
      </x:c>
      <x:c r="U54" s="14" t="str">
        <x:v>Node/session state efêmero e pareado; Somente metadados de segredo; valores nunca em prompt/log; Estado operacional persistente em PostgreSQL</x:v>
      </x:c>
      <x:c r="V54" s="14" t="str">
        <x:v>agent.guardian.started / .completed / .failed + evidence.ledger.recorded</x:v>
      </x:c>
      <x:c r="W54" s="14" t="str">
        <x:v>Least privilege; write sensível, gasto, publicação, privilégio ou ação destrutiva exigem gate explícito. Device input/screen exige autorização de sessão e logging. Credenciais via broker/leases; nunca em prompt.</x:v>
      </x:c>
      <x:c r="X54" s="14" t="str">
        <x:v>Architect (MIT) — AST/Tree-sitter/Repo Intelligence | oh-my-claudecode (MIT) — multiagentes/jobs/skills/router | Hermes — patterns; validar licença por versão</x:v>
      </x:c>
    </x:row>
    <x:row r="55" ht="62" customHeight="1">
      <x:c r="A55" s="14" t="n">
        <x:v>54</x:v>
      </x:c>
      <x:c r="B55" s="14" t="str">
        <x:v>Governança &amp; Estratégia</x:v>
      </x:c>
      <x:c r="C55" s="14" t="str">
        <x:v>Governança</x:v>
      </x:c>
      <x:c r="D55" s="14" t="str">
        <x:v>Goal Drift Detector</x:v>
      </x:c>
      <x:c r="E55" s="14" t="str">
        <x:v>Agente de alinhamento</x:v>
      </x:c>
      <x:c r="F55" s="14" t="str">
        <x:v>Detecta desvio entre objetivo original e estado atual da implementação.</x:v>
      </x:c>
      <x:c r="G55" s="14" t="str">
        <x:v>Compara requirements, tasks, commits, tests e OPA; mede gaps e requisitos sem evidência.</x:v>
      </x:c>
      <x:c r="H55" s="14" t="str">
        <x:v>Requirements DB, Evidence Graph, Git, tests.</x:v>
      </x:c>
      <x:c r="I55" s="14" t="str">
        <x:v>Gerar drift score e abrir gaps.</x:v>
      </x:c>
      <x:c r="J55" s="14" t="str">
        <x:v>Sprint/release review ou projeto longo.</x:v>
      </x:c>
      <x:c r="K55" s="14" t="str">
        <x:v>Objetivos versionados e estado atual.</x:v>
      </x:c>
      <x:c r="L55" s="14" t="str">
        <x:v>Goal Drift Report.</x:v>
      </x:c>
      <x:c r="M55" s="14" t="str">
        <x:v>Não redefine objetivo; sinaliza desvio.</x:v>
      </x:c>
      <x:c r="N55" s="14" t="str">
        <x:v>Morpheus/Analista/QA3.</x:v>
      </x:c>
      <x:c r="O55" s="14" t="str">
        <x:v>Permanente</x:v>
      </x:c>
      <x:c r="P55" s="14" t="str">
        <x:v>Ollama</x:v>
      </x:c>
      <x:c r="Q55" s="14" t="str">
        <x:v>Alta</x:v>
      </x:c>
      <x:c r="R55" s="14" t="str">
        <x:v>01a0e473-f636-71b9-8133-865389aee00d</x:v>
      </x:c>
      <x:c r="S55" s="14" t="str">
        <x:v>F15 Skill Runtime + Memory/Context Engine | F20 Team Runtime | F22 Device Nodes</x:v>
      </x:c>
      <x:c r="T55" s="14" t="str">
        <x:v>goal.drift.detect</x:v>
      </x:c>
      <x:c r="U55" s="14" t="str">
        <x:v>Skills versionadas; promoção só após prova; Memory/Context sob escopo; Context Pack mínimo; Node/session state efêmero e pareado; Estado operacional persistente em PostgreSQL</x:v>
      </x:c>
      <x:c r="V55" s="14" t="str">
        <x:v>agent.goal.drift.detector.started / .completed / .failed + evidence.ledger.recorded</x:v>
      </x:c>
      <x:c r="W55" s="14" t="str">
        <x:v>Least privilege; writes policy-gated; evidência obrigatória; sem autoaprovação. Device input/screen exige autorização de sessão e logging.</x:v>
      </x:c>
      <x:c r="X55" s="14" t="str">
        <x:v>oh-my-claudecode (MIT) — multiagentes/jobs/skills/router | Hermes — patterns; validar licença por versão | OpenClaw — gateway/nodes/channels; validar licença por versão</x:v>
      </x:c>
    </x:row>
    <x:row r="56" ht="62" customHeight="1">
      <x:c r="A56" s="14" t="n">
        <x:v>55</x:v>
      </x:c>
      <x:c r="B56" s="14" t="str">
        <x:v>Operações &amp; Infraestrutura</x:v>
      </x:c>
      <x:c r="C56" s="14" t="str">
        <x:v>Versões</x:v>
      </x:c>
      <x:c r="D56" s="14" t="str">
        <x:v>Versionador</x:v>
      </x:c>
      <x:c r="E56" s="14" t="str">
        <x:v>Agente de versionamento</x:v>
      </x:c>
      <x:c r="F56" s="14" t="str">
        <x:v>Controla SemVer, compatibilidade, tags, changelogs e matriz de versões.</x:v>
      </x:c>
      <x:c r="G56" s="14" t="str">
        <x:v>Gerencia versões de PhoenixClaw, RustCore, IR, JSON, plugins, schemas e dependencies; detecta breaking changes.</x:v>
      </x:c>
      <x:c r="H56" s="14" t="str">
        <x:v>Git, Compatibility Matrix, changelog, artifacts.</x:v>
      </x:c>
      <x:c r="I56" s="14" t="str">
        <x:v>Propor/atribuir versão, criar tag candidate, atualizar matrix.</x:v>
      </x:c>
      <x:c r="J56" s="14" t="str">
        <x:v>Entrega aprovada ou mudança de contrato.</x:v>
      </x:c>
      <x:c r="K56" s="14" t="str">
        <x:v>QA3 PASS e release metadata.</x:v>
      </x:c>
      <x:c r="L56" s="14" t="str">
        <x:v>Versão rastreável e changelog.</x:v>
      </x:c>
      <x:c r="M56" s="14" t="str">
        <x:v>Nenhum coder decide sozinho versão.</x:v>
      </x:c>
      <x:c r="N56" s="14" t="str">
        <x:v>Release Manager.</x:v>
      </x:c>
      <x:c r="O56" s="14" t="str">
        <x:v>Sob demanda</x:v>
      </x:c>
      <x:c r="P56" s="14" t="str">
        <x:v>Ollama</x:v>
      </x:c>
      <x:c r="Q56" s="14" t="str">
        <x:v>Alta</x:v>
      </x:c>
      <x:c r="R56" s="14" t="str">
        <x:v>01a0e473-f637-7194-be89-ecefe3390927</x:v>
      </x:c>
      <x:c r="S56" s="14" t="str">
        <x:v>F15 Skill Runtime + Memory/Context Engine | F17 Checkpoint + Rollback | F18 MCP + LSP Runtime | F19 Repo Intelligence / Tree-sitter | F22 Device Nodes</x:v>
      </x:c>
      <x:c r="T56" s="14" t="str">
        <x:v>version.semver.manage</x:v>
      </x:c>
      <x:c r="U56" s="14" t="str">
        <x:v>Skills versionadas; promoção só após prova; Memory/Context sob escopo; Context Pack mínimo; Checkpoint manifest + hashes + rollback evidence; Node/session state efêmero e pareado</x:v>
      </x:c>
      <x:c r="V56" s="14" t="str">
        <x:v>agent.versionador.started / .completed / .failed + evidence.ledger.recorded</x:v>
      </x:c>
      <x:c r="W56" s="14" t="str">
        <x:v>Least privilege; writes policy-gated; evidência obrigatória; sem autoaprovação. Device input/screen exige autorização de sessão e logging.</x:v>
      </x:c>
      <x:c r="X56" s="14" t="str">
        <x:v>Architect (MIT) — AST/Tree-sitter/Repo Intelligence | oh-my-claudecode (MIT) — multiagentes/jobs/skills/router | Hermes — patterns; validar licença por versão</x:v>
      </x:c>
    </x:row>
    <x:row r="57" ht="62" customHeight="1">
      <x:c r="A57" s="14" t="n">
        <x:v>56</x:v>
      </x:c>
      <x:c r="B57" s="14" t="str">
        <x:v>Operações &amp; Infraestrutura</x:v>
      </x:c>
      <x:c r="C57" s="14" t="str">
        <x:v>Release</x:v>
      </x:c>
      <x:c r="D57" s="14" t="str">
        <x:v>Release Manager</x:v>
      </x:c>
      <x:c r="E57" s="14" t="str">
        <x:v>Agente de release</x:v>
      </x:c>
      <x:c r="F57" s="14" t="str">
        <x:v>Converte release candidate aprovado em release oficial segura e reversível.</x:v>
      </x:c>
      <x:c r="G57" s="14" t="str">
        <x:v>Valida gates, artifacts, signatures, release notes, migration/rollback e promove por ambiente.</x:v>
      </x:c>
      <x:c r="H57" s="14" t="str">
        <x:v>QA3, Artifact Registry, Versionador, Installer Core.</x:v>
      </x:c>
      <x:c r="I57" s="14" t="str">
        <x:v>Promover, pausar, rollback release.</x:v>
      </x:c>
      <x:c r="J57" s="14" t="str">
        <x:v>RC aprovado.</x:v>
      </x:c>
      <x:c r="K57" s="14" t="str">
        <x:v>Release package e plano de rollback.</x:v>
      </x:c>
      <x:c r="L57" s="14" t="str">
        <x:v>Release oficial + audit trail.</x:v>
      </x:c>
      <x:c r="M57" s="14" t="str">
        <x:v>Não libera com gate faltante.</x:v>
      </x:c>
      <x:c r="N57" s="14" t="str">
        <x:v>Observability/Operations.</x:v>
      </x:c>
      <x:c r="O57" s="14" t="str">
        <x:v>Sob demanda</x:v>
      </x:c>
      <x:c r="P57" s="14" t="str">
        <x:v>Ollama/Claude</x:v>
      </x:c>
      <x:c r="Q57" s="14" t="str">
        <x:v>Crítica</x:v>
      </x:c>
      <x:c r="R57" s="14" t="str">
        <x:v>01a0e473-f638-7c91-8f60-c7841a86639f</x:v>
      </x:c>
      <x:c r="S57" s="14" t="str">
        <x:v>F17 Checkpoint + Rollback | F19 Repo Intelligence / Tree-sitter | F22 Device Nodes</x:v>
      </x:c>
      <x:c r="T57" s="14" t="str">
        <x:v>release.promote</x:v>
      </x:c>
      <x:c r="U57" s="14" t="str">
        <x:v>Checkpoint manifest + hashes + rollback evidence; Node/session state efêmero e pareado</x:v>
      </x:c>
      <x:c r="V57" s="14" t="str">
        <x:v>agent.release.manager.started / .completed / .failed + evidence.ledger.recorded</x:v>
      </x:c>
      <x:c r="W57" s="14" t="str">
        <x:v>Least privilege; write sensível, gasto, publicação, privilégio ou ação destrutiva exigem gate explícito. Device input/screen exige autorização de sessão e logging.</x:v>
      </x:c>
      <x:c r="X57" s="14" t="str">
        <x:v>Architect (MIT) — AST/Tree-sitter/Repo Intelligence | Hermes — patterns; validar licença por versão | OpenClaw — gateway/nodes/channels; validar licença por versão</x:v>
      </x:c>
    </x:row>
    <x:row r="58" ht="62" customHeight="1">
      <x:c r="A58" s="14" t="n">
        <x:v>57</x:v>
      </x:c>
      <x:c r="B58" s="14" t="str">
        <x:v>Operações &amp; Infraestrutura</x:v>
      </x:c>
      <x:c r="C58" s="14" t="str">
        <x:v>Build</x:v>
      </x:c>
      <x:c r="D58" s="14" t="str">
        <x:v>Reproducible Build Agent</x:v>
      </x:c>
      <x:c r="E58" s="14" t="str">
        <x:v>Agente de build reproduzível</x:v>
      </x:c>
      <x:c r="F58" s="14" t="str">
        <x:v>Garante que uma versão possa ser reconstruída a partir de fontes e toolchain registrados.</x:v>
      </x:c>
      <x:c r="G58" s="14" t="str">
        <x:v>Congela toolchain, lockfiles, flags, environment manifest e compara hashes/outputs onde aplicável.</x:v>
      </x:c>
      <x:c r="H58" s="14" t="str">
        <x:v>Containers, Cargo.lock, rust-toolchain, Artifact Registry.</x:v>
      </x:c>
      <x:c r="I58" s="14" t="str">
        <x:v>Rebuild limpo, comparar artifacts e emitir proof.</x:v>
      </x:c>
      <x:c r="J58" s="14" t="str">
        <x:v>Release candidate e auditoria.</x:v>
      </x:c>
      <x:c r="K58" s="14" t="str">
        <x:v>Source snapshot e build manifest.</x:v>
      </x:c>
      <x:c r="L58" s="14" t="str">
        <x:v>Reproducibility Evidence.</x:v>
      </x:c>
      <x:c r="M58" s="14" t="str">
        <x:v>Não aceita dependência não declarada.</x:v>
      </x:c>
      <x:c r="N58" s="14" t="str">
        <x:v>QA3/Release.</x:v>
      </x:c>
      <x:c r="O58" s="14" t="str">
        <x:v>Sob demanda</x:v>
      </x:c>
      <x:c r="P58" s="14" t="str">
        <x:v>Determinístico/Ollama</x:v>
      </x:c>
      <x:c r="Q58" s="14" t="str">
        <x:v>Alta</x:v>
      </x:c>
      <x:c r="R58" s="14" t="str">
        <x:v>01a0e473-f639-7ee3-b4bd-658857368ae7</x:v>
      </x:c>
      <x:c r="S58" s="14" t="str">
        <x:v>F17 Checkpoint + Rollback | F18 MCP + LSP Runtime | F22 Device Nodes</x:v>
      </x:c>
      <x:c r="T58" s="14" t="str">
        <x:v>build.reproducible</x:v>
      </x:c>
      <x:c r="U58" s="14" t="str">
        <x:v>Checkpoint manifest + hashes + rollback evidence; Node/session state efêmero e pareado</x:v>
      </x:c>
      <x:c r="V58" s="14" t="str">
        <x:v>agent.reproducible.build.agent.started / .completed / .failed + evidence.ledger.recorded</x:v>
      </x:c>
      <x:c r="W58" s="14" t="str">
        <x:v>Least privilege; writes policy-gated; evidência obrigatória; sem autoaprovação. Device input/screen exige autorização de sessão e logging.</x:v>
      </x:c>
      <x:c r="X58" s="14" t="str">
        <x:v>Hermes — patterns; validar licença por versão | OpenClaw — gateway/nodes/channels; validar licença por versão | ZeroClaw — benchmark Rust/providers/tools</x:v>
      </x:c>
    </x:row>
    <x:row r="59" ht="62" customHeight="1">
      <x:c r="A59" s="14" t="n">
        <x:v>58</x:v>
      </x:c>
      <x:c r="B59" s="14" t="str">
        <x:v>Operações &amp; Infraestrutura</x:v>
      </x:c>
      <x:c r="C59" s="14" t="str">
        <x:v>Backup</x:v>
      </x:c>
      <x:c r="D59" s="14" t="str">
        <x:v>Backup Agent</x:v>
      </x:c>
      <x:c r="E59" s="14" t="str">
        <x:v>Agente de backup</x:v>
      </x:c>
      <x:c r="F59" s="14" t="str">
        <x:v>Protege código, banco, artifacts, configuração e conhecimento da fábrica.</x:v>
      </x:c>
      <x:c r="G59" s="14" t="str">
        <x:v>Executa políticas full/incremental, criptografia, retenção, verificação de checksums e catálogo de backups.</x:v>
      </x:c>
      <x:c r="H59" s="14" t="str">
        <x:v>PostgreSQL, Git, storage, Artifact Registry, secrets metadata.</x:v>
      </x:c>
      <x:c r="I59" s="14" t="str">
        <x:v>Criar/validar backup e registrar manifest.</x:v>
      </x:c>
      <x:c r="J59" s="14" t="str">
        <x:v>Agenda ou antes de upgrade/release crítica.</x:v>
      </x:c>
      <x:c r="K59" s="14" t="str">
        <x:v>Inventário de dados.</x:v>
      </x:c>
      <x:c r="L59" s="14" t="str">
        <x:v>Backup Manifest verificado.</x:v>
      </x:c>
      <x:c r="M59" s="14" t="str">
        <x:v>Backup sem teste de restore não é considerado suficiente.</x:v>
      </x:c>
      <x:c r="N59" s="14" t="str">
        <x:v>Restore Agent.</x:v>
      </x:c>
      <x:c r="O59" s="14" t="str">
        <x:v>Permanente</x:v>
      </x:c>
      <x:c r="P59" s="14" t="str">
        <x:v>Determinístico/Ollama</x:v>
      </x:c>
      <x:c r="Q59" s="14" t="str">
        <x:v>Crítica</x:v>
      </x:c>
      <x:c r="R59" s="14" t="str">
        <x:v>01a0e473-f63a-729d-91a1-22d4866232f0</x:v>
      </x:c>
      <x:c r="S59" s="14" t="str">
        <x:v>F17 Checkpoint + Rollback | F22 Device Nodes</x:v>
      </x:c>
      <x:c r="T59" s="14" t="str">
        <x:v>checkpoint.backup.create</x:v>
      </x:c>
      <x:c r="U59" s="14" t="str">
        <x:v>Checkpoint manifest + hashes + rollback evidence; Node/session state efêmero e pareado; Estado operacional persistente em PostgreSQL</x:v>
      </x:c>
      <x:c r="V59" s="14" t="str">
        <x:v>agent.backup.agent.started / .completed / .failed + evidence.ledger.recorded</x:v>
      </x:c>
      <x:c r="W59" s="14" t="str">
        <x:v>Least privilege; write sensível, gasto, publicação, privilégio ou ação destrutiva exigem gate explícito. Device input/screen exige autorização de sessão e logging.</x:v>
      </x:c>
      <x:c r="X59" s="14" t="str">
        <x:v>Hermes — patterns; validar licença por versão | OpenClaw — gateway/nodes/channels; validar licença por versão | ZeroClaw — benchmark Rust/providers/tools</x:v>
      </x:c>
    </x:row>
    <x:row r="60" ht="62" customHeight="1">
      <x:c r="A60" s="14" t="n">
        <x:v>59</x:v>
      </x:c>
      <x:c r="B60" s="14" t="str">
        <x:v>Operações &amp; Infraestrutura</x:v>
      </x:c>
      <x:c r="C60" s="14" t="str">
        <x:v>Backup</x:v>
      </x:c>
      <x:c r="D60" s="14" t="str">
        <x:v>Restore Agent</x:v>
      </x:c>
      <x:c r="E60" s="14" t="str">
        <x:v>Agente de restauração</x:v>
      </x:c>
      <x:c r="F60" s="14" t="str">
        <x:v>Restaura backups em ambiente limpo e prova recuperação funcional.</x:v>
      </x:c>
      <x:c r="G60" s="14" t="str">
        <x:v>Provisiona sandbox/VM, restaura DB/repos/artifacts/config, executa build/tests e mede RTO/RPO.</x:v>
      </x:c>
      <x:c r="H60" s="14" t="str">
        <x:v>Backup manifests, Proxmox/Docker, CI.</x:v>
      </x:c>
      <x:c r="I60" s="14" t="str">
        <x:v>Restore drill, validar e produzir proof.</x:v>
      </x:c>
      <x:c r="J60" s="14" t="str">
        <x:v>Após backup selecionado ou incidente.</x:v>
      </x:c>
      <x:c r="K60" s="14" t="str">
        <x:v>Backup válido e ambiente limpo.</x:v>
      </x:c>
      <x:c r="L60" s="14" t="str">
        <x:v>Restore Proof.</x:v>
      </x:c>
      <x:c r="M60" s="14" t="str">
        <x:v>Não marca backup como confiável sem restauração real periódica.</x:v>
      </x:c>
      <x:c r="N60" s="14" t="str">
        <x:v>QA3/Niobe.</x:v>
      </x:c>
      <x:c r="O60" s="14" t="str">
        <x:v>Sob demanda</x:v>
      </x:c>
      <x:c r="P60" s="14" t="str">
        <x:v>Determinístico/Ollama</x:v>
      </x:c>
      <x:c r="Q60" s="14" t="str">
        <x:v>Crítica</x:v>
      </x:c>
      <x:c r="R60" s="14" t="str">
        <x:v>01a0e473-f63b-7cad-b290-bec9166341e8</x:v>
      </x:c>
      <x:c r="S60" s="14" t="str">
        <x:v>F17 Checkpoint + Rollback | F19 Repo Intelligence / Tree-sitter | F22 Device Nodes</x:v>
      </x:c>
      <x:c r="T60" s="14" t="str">
        <x:v>checkpoint.restore.execute</x:v>
      </x:c>
      <x:c r="U60" s="14" t="str">
        <x:v>Checkpoint manifest + hashes + rollback evidence; Node/session state efêmero e pareado</x:v>
      </x:c>
      <x:c r="V60" s="14" t="str">
        <x:v>agent.restore.agent.started / .completed / .failed + evidence.ledger.recorded</x:v>
      </x:c>
      <x:c r="W60" s="14" t="str">
        <x:v>Least privilege; write sensível, gasto, publicação, privilégio ou ação destrutiva exigem gate explícito. Device input/screen exige autorização de sessão e logging.</x:v>
      </x:c>
      <x:c r="X60" s="14" t="str">
        <x:v>Architect (MIT) — AST/Tree-sitter/Repo Intelligence | Hermes — patterns; validar licença por versão | OpenClaw — gateway/nodes/channels; validar licença por versão</x:v>
      </x:c>
    </x:row>
    <x:row r="61" ht="62" customHeight="1">
      <x:c r="A61" s="14" t="n">
        <x:v>60</x:v>
      </x:c>
      <x:c r="B61" s="14" t="str">
        <x:v>Operações &amp; Infraestrutura</x:v>
      </x:c>
      <x:c r="C61" s="14" t="str">
        <x:v>Operações</x:v>
      </x:c>
      <x:c r="D61" s="14" t="str">
        <x:v>SRE/Operations Agent</x:v>
      </x:c>
      <x:c r="E61" s="14" t="str">
        <x:v>Agente SRE</x:v>
      </x:c>
      <x:c r="F61" s="14" t="str">
        <x:v>Mantém disponibilidade, observabilidade e capacidade da fábrica.</x:v>
      </x:c>
      <x:c r="G61" s="14" t="str">
        <x:v>Monitora serviços, SLOs, incidentes, capacity planning, logs/metrics/traces e runbooks.</x:v>
      </x:c>
      <x:c r="H61" s="14" t="str">
        <x:v>Prometheus/Grafana/OTel, Proxmox, systemd, logs.</x:v>
      </x:c>
      <x:c r="I61" s="14" t="str">
        <x:v>Diagnosticar, ajustar capacidade, reiniciar com política, criar runbook.</x:v>
      </x:c>
      <x:c r="J61" s="14" t="str">
        <x:v>Degradação, alertas ou planejamento de capacidade.</x:v>
      </x:c>
      <x:c r="K61" s="14" t="str">
        <x:v>Telemetry e topology.</x:v>
      </x:c>
      <x:c r="L61" s="14" t="str">
        <x:v>Operations report e ações seguras.</x:v>
      </x:c>
      <x:c r="M61" s="14" t="str">
        <x:v>Mudança destrutiva exige gate apropriado.</x:v>
      </x:c>
      <x:c r="N61" s="14" t="str">
        <x:v>Niobe/Dozer/QA.</x:v>
      </x:c>
      <x:c r="O61" s="14" t="str">
        <x:v>Permanente</x:v>
      </x:c>
      <x:c r="P61" s="14" t="str">
        <x:v>Ollama</x:v>
      </x:c>
      <x:c r="Q61" s="14" t="str">
        <x:v>Alta</x:v>
      </x:c>
      <x:c r="R61" s="14" t="str">
        <x:v>01a0e473-f63c-7f03-831f-1c952dfae36c</x:v>
      </x:c>
      <x:c r="S61" s="14" t="str">
        <x:v>F16 Scheduler + Background Jobs | F22 Device Nodes</x:v>
      </x:c>
      <x:c r="T61" s="14" t="str">
        <x:v>operations.sre.manage</x:v>
      </x:c>
      <x:c r="U61" s="14" t="str">
        <x:v>Job UUIDv7 + lease/heartbeat/resume em PostgreSQL; Node/session state efêmero e pareado</x:v>
      </x:c>
      <x:c r="V61" s="14" t="str">
        <x:v>agent.sre.operations.agent.started / .completed / .failed + evidence.ledger.recorded</x:v>
      </x:c>
      <x:c r="W61" s="14" t="str">
        <x:v>Least privilege; writes policy-gated; evidência obrigatória; sem autoaprovação. Device input/screen exige autorização de sessão e logging.</x:v>
      </x:c>
      <x:c r="X61" s="14" t="str">
        <x:v>oh-my-claudecode (MIT) — multiagentes/jobs/skills/router | Hermes — patterns; validar licença por versão | OpenClaw — gateway/nodes/channels; validar licença por versão</x:v>
      </x:c>
    </x:row>
    <x:row r="62" ht="62" customHeight="1">
      <x:c r="A62" s="14" t="n">
        <x:v>61</x:v>
      </x:c>
      <x:c r="B62" s="14" t="str">
        <x:v>Operações &amp; Infraestrutura</x:v>
      </x:c>
      <x:c r="C62" s="14" t="str">
        <x:v>Infra</x:v>
      </x:c>
      <x:c r="D62" s="14" t="str">
        <x:v>Sandbox Manager</x:v>
      </x:c>
      <x:c r="E62" s="14" t="str">
        <x:v>Agente de isolamento</x:v>
      </x:c>
      <x:c r="F62" s="14" t="str">
        <x:v>Cria ambientes descartáveis e seguros para agentes, builds e experimentos.</x:v>
      </x:c>
      <x:c r="G62" s="14" t="str">
        <x:v>Provisiona containers/VMs/worktrees, quotas CPU/RAM/network/fs, TTL, cleanup e templates.</x:v>
      </x:c>
      <x:c r="H62" s="14" t="str">
        <x:v>Docker/Podman/Proxmox, Git worktrees.</x:v>
      </x:c>
      <x:c r="I62" s="14" t="str">
        <x:v>Criar/destruir sandbox, aplicar quotas e registrar ambiente.</x:v>
      </x:c>
      <x:c r="J62" s="14" t="str">
        <x:v>Toda execução de agente com efeitos ou experimento.</x:v>
      </x:c>
      <x:c r="K62" s="14" t="str">
        <x:v>Task + capability policy.</x:v>
      </x:c>
      <x:c r="L62" s="14" t="str">
        <x:v>Sandbox ID/logs.</x:v>
      </x:c>
      <x:c r="M62" s="14" t="str">
        <x:v>Não concede host access por padrão.</x:v>
      </x:c>
      <x:c r="N62" s="14" t="str">
        <x:v>Agent / Evidence.</x:v>
      </x:c>
      <x:c r="O62" s="14" t="str">
        <x:v>Permanente</x:v>
      </x:c>
      <x:c r="P62" s="14" t="str">
        <x:v>Determinístico/Ollama</x:v>
      </x:c>
      <x:c r="Q62" s="14" t="str">
        <x:v>Crítica</x:v>
      </x:c>
      <x:c r="R62" s="14" t="str">
        <x:v>01a0e473-f63d-777f-8139-a6985d95cae5</x:v>
      </x:c>
      <x:c r="S62" s="14" t="str">
        <x:v>F15 Skill Runtime + Memory/Context Engine | F17 Checkpoint + Rollback | F22 Device Nodes</x:v>
      </x:c>
      <x:c r="T62" s="14" t="str">
        <x:v>sandbox.manage</x:v>
      </x:c>
      <x:c r="U62" s="14" t="str">
        <x:v>Skills versionadas; promoção só após prova; Memory/Context sob escopo; Context Pack mínimo; Checkpoint manifest + hashes + rollback evidence; Node/session state efêmero e pareado</x:v>
      </x:c>
      <x:c r="V62" s="14" t="str">
        <x:v>agent.sandbox.manager.started / .completed / .failed + evidence.ledger.recorded</x:v>
      </x:c>
      <x:c r="W62" s="14" t="str">
        <x:v>Least privilege; write sensível, gasto, publicação, privilégio ou ação destrutiva exigem gate explícito. Device input/screen exige autorização de sessão e logging.</x:v>
      </x:c>
      <x:c r="X62" s="14" t="str">
        <x:v>oh-my-claudecode (MIT) — multiagentes/jobs/skills/router | Hermes — patterns; validar licença por versão | OpenClaw — gateway/nodes/channels; validar licença por versão</x:v>
      </x:c>
    </x:row>
    <x:row r="63" ht="62" customHeight="1">
      <x:c r="A63" s="14" t="n">
        <x:v>62</x:v>
      </x:c>
      <x:c r="B63" s="14" t="str">
        <x:v>Operações &amp; Infraestrutura</x:v>
      </x:c>
      <x:c r="C63" s="14" t="str">
        <x:v>Ferramentas</x:v>
      </x:c>
      <x:c r="D63" s="14" t="str">
        <x:v>Tool/MCP Manager</x:v>
      </x:c>
      <x:c r="E63" s="14" t="str">
        <x:v>Agente de ferramentas</x:v>
      </x:c>
      <x:c r="F63" s="14" t="str">
        <x:v>Mantém Tool Registry e MCPs aprovados com versões, riscos e capabilities.</x:v>
      </x:c>
      <x:c r="G63" s="14" t="str">
        <x:v>Descobre, instala via Installer Core, testa health/security, controla whitelist e adapters.</x:v>
      </x:c>
      <x:c r="H63" s="14" t="str">
        <x:v>MCP Registry, Tool Gateway, license/security scans.</x:v>
      </x:c>
      <x:c r="I63" s="14" t="str">
        <x:v>Registrar, habilitar, desabilitar e atualizar ferramentas.</x:v>
      </x:c>
      <x:c r="J63" s="14" t="str">
        <x:v>Nova ferramenta/MCP ou update.</x:v>
      </x:c>
      <x:c r="K63" s="14" t="str">
        <x:v>Manifest, license, capabilities.</x:v>
      </x:c>
      <x:c r="L63" s="14" t="str">
        <x:v>Approved Tool Registry.</x:v>
      </x:c>
      <x:c r="M63" s="14" t="str">
        <x:v>Nenhum MCP novo entra sem revisão.</x:v>
      </x:c>
      <x:c r="N63" s="14" t="str">
        <x:v>Seraph/Thompson/Link.</x:v>
      </x:c>
      <x:c r="O63" s="14" t="str">
        <x:v>Permanente</x:v>
      </x:c>
      <x:c r="P63" s="14" t="str">
        <x:v>Ollama/Claude</x:v>
      </x:c>
      <x:c r="Q63" s="14" t="str">
        <x:v>Alta</x:v>
      </x:c>
      <x:c r="R63" s="14" t="str">
        <x:v>01a0e473-f63e-7112-b100-cfcf4b49c51c</x:v>
      </x:c>
      <x:c r="S63" s="14" t="str">
        <x:v>F15 Skill Runtime + Memory/Context Engine | F18 MCP + LSP Runtime | F22 Device Nodes | F23 Secret &amp; Credential Broker</x:v>
      </x:c>
      <x:c r="T63" s="14" t="str">
        <x:v>tool.mcp.registry.manage</x:v>
      </x:c>
      <x:c r="U63" s="14" t="str">
        <x:v>Skills versionadas; promoção só após prova; Memory/Context sob escopo; Context Pack mínimo; Node/session state efêmero e pareado; Somente metadados de segredo; valores nunca em prompt/log</x:v>
      </x:c>
      <x:c r="V63" s="14" t="str">
        <x:v>agent.tool.mcp.manager.started / .completed / .failed + evidence.ledger.recorded</x:v>
      </x:c>
      <x:c r="W63" s="14" t="str">
        <x:v>Least privilege; writes policy-gated; evidência obrigatória; sem autoaprovação. Device input/screen exige autorização de sessão e logging. Credenciais via broker/leases; nunca em prompt.</x:v>
      </x:c>
      <x:c r="X63" s="14" t="str">
        <x:v>oh-my-claudecode (MIT) — multiagentes/jobs/skills/router | Hermes — patterns; validar licença por versão | OpenClaw — gateway/nodes/channels; validar licença por versão</x:v>
      </x:c>
    </x:row>
    <x:row r="64" ht="62" customHeight="1">
      <x:c r="A64" s="14" t="n">
        <x:v>63</x:v>
      </x:c>
      <x:c r="B64" s="14" t="str">
        <x:v>Segurança &amp; Compliance</x:v>
      </x:c>
      <x:c r="C64" s="14" t="str">
        <x:v>Segurança</x:v>
      </x:c>
      <x:c r="D64" s="14" t="str">
        <x:v>Secrets Manager</x:v>
      </x:c>
      <x:c r="E64" s="14" t="str">
        <x:v>Agente de segredos</x:v>
      </x:c>
      <x:c r="F64" s="14" t="str">
        <x:v>Protege credenciais e entrega acesso temporário sem expor segredo à LLM.</x:v>
      </x:c>
      <x:c r="G64" s="14" t="str">
        <x:v>Mantém vault, rotation, scoped credentials, leases, revocation e audit.</x:v>
      </x:c>
      <x:c r="H64" s="14" t="str">
        <x:v>Vault/secret store, RBAC, Tool Gateway.</x:v>
      </x:c>
      <x:c r="I64" s="14" t="str">
        <x:v>Emitir/revogar credencial temporária e registrar uso.</x:v>
      </x:c>
      <x:c r="J64" s="14" t="str">
        <x:v>Tool precisa autenticar externamente.</x:v>
      </x:c>
      <x:c r="K64" s="14" t="str">
        <x:v>Capability grant e policy.</x:v>
      </x:c>
      <x:c r="L64" s="14" t="str">
        <x:v>Lease/audit record.</x:v>
      </x:c>
      <x:c r="M64" s="14" t="str">
        <x:v>Agentes não recebem secrets em prompt/log.</x:v>
      </x:c>
      <x:c r="N64" s="14" t="str">
        <x:v>Seraph/Tool Gateway.</x:v>
      </x:c>
      <x:c r="O64" s="14" t="str">
        <x:v>Permanente</x:v>
      </x:c>
      <x:c r="P64" s="14" t="str">
        <x:v>Determinístico</x:v>
      </x:c>
      <x:c r="Q64" s="14" t="str">
        <x:v>Crítica</x:v>
      </x:c>
      <x:c r="R64" s="14" t="str">
        <x:v>01a0e473-f63f-781b-a066-be7496e4cd16</x:v>
      </x:c>
      <x:c r="S64" s="14" t="str">
        <x:v>F23 Secret &amp; Credential Broker</x:v>
      </x:c>
      <x:c r="T64" s="14" t="str">
        <x:v>secret.credential.broker</x:v>
      </x:c>
      <x:c r="U64" s="14" t="str">
        <x:v>Somente metadados de segredo; valores nunca em prompt/log; Estado operacional persistente em PostgreSQL</x:v>
      </x:c>
      <x:c r="V64" s="14" t="str">
        <x:v>agent.secrets.manager.started / .completed / .failed + evidence.ledger.recorded</x:v>
      </x:c>
      <x:c r="W64" s="14" t="str">
        <x:v>Least privilege; write sensível, gasto, publicação, privilégio ou ação destrutiva exigem gate explícito. Credenciais via broker/leases; nunca em prompt.</x:v>
      </x:c>
      <x:c r="X64" s="14" t="str">
        <x:v>Hermes — patterns; validar licença por versão | OpenClaw — gateway/nodes/channels; validar licença por versão | ZeroClaw — benchmark Rust/providers/tools</x:v>
      </x:c>
    </x:row>
    <x:row r="65" ht="62" customHeight="1">
      <x:c r="A65" s="14" t="n">
        <x:v>64</x:v>
      </x:c>
      <x:c r="B65" s="14" t="str">
        <x:v>IA &amp; Conhecimento</x:v>
      </x:c>
      <x:c r="C65" s="14" t="str">
        <x:v>Contexto</x:v>
      </x:c>
      <x:c r="D65" s="14" t="str">
        <x:v>Context Compiler</x:v>
      </x:c>
      <x:c r="E65" s="14" t="str">
        <x:v>Agente de contexto</x:v>
      </x:c>
      <x:c r="F65" s="14" t="str">
        <x:v>Monta o menor pacote de contexto correto para cada tarefa.</x:v>
      </x:c>
      <x:c r="G65" s="14" t="str">
        <x:v>Busca ADRs, arquivos, symbols, tests, bugs, decisions e dependencies relevantes; comprime e versiona contexto.</x:v>
      </x:c>
      <x:c r="H65" s="14" t="str">
        <x:v>PostgreSQL, Git, Knowledge/Dependency Graph, RAG.</x:v>
      </x:c>
      <x:c r="I65" s="14" t="str">
        <x:v>Construir Context Pack e medir relevância/tamanho.</x:v>
      </x:c>
      <x:c r="J65" s="14" t="str">
        <x:v>Antes de qualquer execução LLM complexa.</x:v>
      </x:c>
      <x:c r="K65" s="14" t="str">
        <x:v>Task UUID e role policy.</x:v>
      </x:c>
      <x:c r="L65" s="14" t="str">
        <x:v>Context Pack versionado.</x:v>
      </x:c>
      <x:c r="M65" s="14" t="str">
        <x:v>Não injeta segredos nem dados sem necessidade.</x:v>
      </x:c>
      <x:c r="N65" s="14" t="str">
        <x:v>Model Router/Agent.</x:v>
      </x:c>
      <x:c r="O65" s="14" t="str">
        <x:v>Permanente</x:v>
      </x:c>
      <x:c r="P65" s="14" t="str">
        <x:v>Ollama</x:v>
      </x:c>
      <x:c r="Q65" s="14" t="str">
        <x:v>Crítica</x:v>
      </x:c>
      <x:c r="R65" s="14" t="str">
        <x:v>01a0e473-f640-799d-9824-531aea38c20c</x:v>
      </x:c>
      <x:c r="S65" s="14" t="str">
        <x:v>F15 Skill Runtime + Memory/Context Engine | F17 Checkpoint + Rollback | F18 MCP + LSP Runtime | F19 Repo Intelligence / Tree-sitter | F20 Team Runtime | F22 Device Nodes | F25 Knowledge / Evidence Graph</x:v>
      </x:c>
      <x:c r="T65" s="14" t="str">
        <x:v>context.compile</x:v>
      </x:c>
      <x:c r="U65" s="14" t="str">
        <x:v>Skills versionadas; promoção só após prova; Memory/Context sob escopo; Context Pack mínimo; Checkpoint manifest + hashes + rollback evidence; Node/session state efêmero e pareado</x:v>
      </x:c>
      <x:c r="V65" s="14" t="str">
        <x:v>agent.context.compiler.started / .completed / .failed + evidence.ledger.recorded</x:v>
      </x:c>
      <x:c r="W65" s="14" t="str">
        <x:v>Least privilege; write sensível, gasto, publicação, privilégio ou ação destrutiva exigem gate explícito. Device input/screen exige autorização de sessão e logging.</x:v>
      </x:c>
      <x:c r="X65" s="14" t="str">
        <x:v>Architect (MIT) — AST/Tree-sitter/Repo Intelligence | oh-my-claudecode (MIT) — multiagentes/jobs/skills/router | Hermes — patterns; validar licença por versão</x:v>
      </x:c>
    </x:row>
    <x:row r="66" ht="62" customHeight="1">
      <x:c r="A66" s="14" t="n">
        <x:v>65</x:v>
      </x:c>
      <x:c r="B66" s="14" t="str">
        <x:v>IA &amp; Conhecimento</x:v>
      </x:c>
      <x:c r="C66" s="14" t="str">
        <x:v>Conhecimento</x:v>
      </x:c>
      <x:c r="D66" s="14" t="str">
        <x:v>Knowledge Graph Agent</x:v>
      </x:c>
      <x:c r="E66" s="14" t="str">
        <x:v>Agente de conhecimento</x:v>
      </x:c>
      <x:c r="F66" s="14" t="str">
        <x:v>Mantém memória institucional e relações entre decisões, código e histórico.</x:v>
      </x:c>
      <x:c r="G66" s="14" t="str">
        <x:v>Liga ADRs, APIs, modules, bugs, research, sprints, versions e ownership; deduplica e mantém provenance.</x:v>
      </x:c>
      <x:c r="H66" s="14" t="str">
        <x:v>PostgreSQL, embeddings/index, Git metadata.</x:v>
      </x:c>
      <x:c r="I66" s="14" t="str">
        <x:v>Adicionar/atualizar relações e responder consultas estruturais.</x:v>
      </x:c>
      <x:c r="J66" s="14" t="str">
        <x:v>Novo conhecimento relevante ou alteração estrutural.</x:v>
      </x:c>
      <x:c r="K66" s="14" t="str">
        <x:v>Artifacts e metadata.</x:v>
      </x:c>
      <x:c r="L66" s="14" t="str">
        <x:v>Knowledge Graph atualizado.</x:v>
      </x:c>
      <x:c r="M66" s="14" t="str">
        <x:v>Não substitui fontes primárias; mantém provenance.</x:v>
      </x:c>
      <x:c r="N66" s="14" t="str">
        <x:v>Context Compiler/Research.</x:v>
      </x:c>
      <x:c r="O66" s="14" t="str">
        <x:v>Permanente</x:v>
      </x:c>
      <x:c r="P66" s="14" t="str">
        <x:v>Ollama</x:v>
      </x:c>
      <x:c r="Q66" s="14" t="str">
        <x:v>Alta</x:v>
      </x:c>
      <x:c r="R66" s="14" t="str">
        <x:v>01a0e473-f641-7b34-b9e3-ecbd4d238e17</x:v>
      </x:c>
      <x:c r="S66" s="14" t="str">
        <x:v>F15 Skill Runtime + Memory/Context Engine | F17 Checkpoint + Rollback | F18 MCP + LSP Runtime | F19 Repo Intelligence / Tree-sitter | F20 Team Runtime | F24 Auto-learning + Skill Evolution | F25 Knowledge / Evidence Graph</x:v>
      </x:c>
      <x:c r="T66" s="14" t="str">
        <x:v>knowledge.graph.manage</x:v>
      </x:c>
      <x:c r="U66" s="14" t="str">
        <x:v>Skills versionadas; promoção só após prova; Memory/Context sob escopo; Context Pack mínimo; Checkpoint manifest + hashes + rollback evidence; Candidate Skill → Hypothesis → OPA/QA → Registry</x:v>
      </x:c>
      <x:c r="V66" s="14" t="str">
        <x:v>agent.knowledge.graph.agent.started / .completed / .failed + evidence.ledger.recorded</x:v>
      </x:c>
      <x:c r="W66" s="14" t="str">
        <x:v>Least privilege; writes policy-gated; evidência obrigatória; sem autoaprovação.</x:v>
      </x:c>
      <x:c r="X66" s="14" t="str">
        <x:v>Architect (MIT) — AST/Tree-sitter/Repo Intelligence | oh-my-claudecode (MIT) — multiagentes/jobs/skills/router | Hermes — patterns; validar licença por versão</x:v>
      </x:c>
    </x:row>
    <x:row r="67" ht="62" customHeight="1">
      <x:c r="A67" s="14" t="n">
        <x:v>66</x:v>
      </x:c>
      <x:c r="B67" s="14" t="str">
        <x:v>IA &amp; Conhecimento</x:v>
      </x:c>
      <x:c r="C67" s="14" t="str">
        <x:v>Evidência</x:v>
      </x:c>
      <x:c r="D67" s="14" t="str">
        <x:v>Evidence Graph Agent</x:v>
      </x:c>
      <x:c r="E67" s="14" t="str">
        <x:v>Agente de evidências</x:v>
      </x:c>
      <x:c r="F67" s="14" t="str">
        <x:v>Liga cada requisito às provas que sustentam sua conclusão.</x:v>
      </x:c>
      <x:c r="G67" s="14" t="str">
        <x:v>Relaciona requirement→acceptance→test→result→commit→artifact→release; detecta lacunas.</x:v>
      </x:c>
      <x:c r="H67" s="14" t="str">
        <x:v>PostgreSQL, CI reports, Git, Artifact Registry.</x:v>
      </x:c>
      <x:c r="I67" s="14" t="str">
        <x:v>Criar links, validar completude e emitir missing evidence.</x:v>
      </x:c>
      <x:c r="J67" s="14" t="str">
        <x:v>Durante todo ciclo e especialmente QA3.</x:v>
      </x:c>
      <x:c r="K67" s="14" t="str">
        <x:v>Requisitos e evidências geradas.</x:v>
      </x:c>
      <x:c r="L67" s="14" t="str">
        <x:v>Evidence Graph/completeness score.</x:v>
      </x:c>
      <x:c r="M67" s="14" t="str">
        <x:v>Não cria evidência fictícia.</x:v>
      </x:c>
      <x:c r="N67" s="14" t="str">
        <x:v>OPA/QA3.</x:v>
      </x:c>
      <x:c r="O67" s="14" t="str">
        <x:v>Permanente</x:v>
      </x:c>
      <x:c r="P67" s="14" t="str">
        <x:v>Ollama</x:v>
      </x:c>
      <x:c r="Q67" s="14" t="str">
        <x:v>Crítica</x:v>
      </x:c>
      <x:c r="R67" s="14" t="str">
        <x:v>01a0e473-f642-7a0b-9faa-0d9572211b9f</x:v>
      </x:c>
      <x:c r="S67" s="14" t="str">
        <x:v>F15 Skill Runtime + Memory/Context Engine | F17 Checkpoint + Rollback | F22 Device Nodes | F24 Auto-learning + Skill Evolution | F25 Knowledge / Evidence Graph</x:v>
      </x:c>
      <x:c r="T67" s="14" t="str">
        <x:v>evidence.graph.manage</x:v>
      </x:c>
      <x:c r="U67" s="14" t="str">
        <x:v>Skills versionadas; promoção só após prova; Memory/Context sob escopo; Context Pack mínimo; Checkpoint manifest + hashes + rollback evidence; Node/session state efêmero e pareado</x:v>
      </x:c>
      <x:c r="V67" s="14" t="str">
        <x:v>agent.evidence.graph.agent.started / .completed / .failed + evidence.ledger.recorded</x:v>
      </x:c>
      <x:c r="W67" s="14" t="str">
        <x:v>Least privilege; write sensível, gasto, publicação, privilégio ou ação destrutiva exigem gate explícito. Device input/screen exige autorização de sessão e logging.</x:v>
      </x:c>
      <x:c r="X67" s="14" t="str">
        <x:v>oh-my-claudecode (MIT) — multiagentes/jobs/skills/router | Hermes — patterns; validar licença por versão | OpenClaw — gateway/nodes/channels; validar licença por versão</x:v>
      </x:c>
    </x:row>
    <x:row r="68" ht="62" customHeight="1">
      <x:c r="A68" s="14" t="n">
        <x:v>67</x:v>
      </x:c>
      <x:c r="B68" s="14" t="str">
        <x:v>Operações &amp; Infraestrutura</x:v>
      </x:c>
      <x:c r="C68" s="14" t="str">
        <x:v>Artefatos</x:v>
      </x:c>
      <x:c r="D68" s="14" t="str">
        <x:v>Artifact Manager</x:v>
      </x:c>
      <x:c r="E68" s="14" t="str">
        <x:v>Agente de artefatos</x:v>
      </x:c>
      <x:c r="F68" s="14" t="str">
        <x:v>Guarda e versiona binários, WASM, schemas, relatórios, screenshots e SBOMs.</x:v>
      </x:c>
      <x:c r="G68" s="14" t="str">
        <x:v>Mantém hashes, metadata, retention, provenance e ligação a build/release.</x:v>
      </x:c>
      <x:c r="H68" s="14" t="str">
        <x:v>Object storage/filesystem, PostgreSQL, hash/signature tools.</x:v>
      </x:c>
      <x:c r="I68" s="14" t="str">
        <x:v>Registrar, verificar, recuperar e expirar artifacts por política.</x:v>
      </x:c>
      <x:c r="J68" s="14" t="str">
        <x:v>Build/test/release produz artefato.</x:v>
      </x:c>
      <x:c r="K68" s="14" t="str">
        <x:v>Artifact + metadata.</x:v>
      </x:c>
      <x:c r="L68" s="14" t="str">
        <x:v>Artifact Registry entry.</x:v>
      </x:c>
      <x:c r="M68" s="14" t="str">
        <x:v>Não substitui Git nem apaga evidência sob retenção legal/técnica.</x:v>
      </x:c>
      <x:c r="N68" s="14" t="str">
        <x:v>Reproducible Build/Release.</x:v>
      </x:c>
      <x:c r="O68" s="14" t="str">
        <x:v>Permanente</x:v>
      </x:c>
      <x:c r="P68" s="14" t="str">
        <x:v>Determinístico/Ollama</x:v>
      </x:c>
      <x:c r="Q68" s="14" t="str">
        <x:v>Alta</x:v>
      </x:c>
      <x:c r="R68" s="14" t="str">
        <x:v>01a0e473-f643-7271-9c16-dbafea8c5249</x:v>
      </x:c>
      <x:c r="S68" s="14" t="str">
        <x:v>F17 Checkpoint + Rollback | F22 Device Nodes | F25 Knowledge / Evidence Graph</x:v>
      </x:c>
      <x:c r="T68" s="14" t="str">
        <x:v>artifact.registry.manage</x:v>
      </x:c>
      <x:c r="U68" s="14" t="str">
        <x:v>Checkpoint manifest + hashes + rollback evidence; Node/session state efêmero e pareado; Knowledge/Evidence Graph com proveniência; Estado operacional persistente em PostgreSQL</x:v>
      </x:c>
      <x:c r="V68" s="14" t="str">
        <x:v>agent.artifact.manager.started / .completed / .failed + evidence.ledger.recorded</x:v>
      </x:c>
      <x:c r="W68" s="14" t="str">
        <x:v>Least privilege; writes policy-gated; evidência obrigatória; sem autoaprovação. Device input/screen exige autorização de sessão e logging.</x:v>
      </x:c>
      <x:c r="X68" s="14" t="str">
        <x:v>Hermes — patterns; validar licença por versão | OpenClaw — gateway/nodes/channels; validar licença por versão | ZeroClaw — benchmark Rust/providers/tools</x:v>
      </x:c>
    </x:row>
    <x:row r="69" ht="62" customHeight="1">
      <x:c r="A69" s="14" t="n">
        <x:v>68</x:v>
      </x:c>
      <x:c r="B69" s="14" t="str">
        <x:v>Gestão &amp; Financeiro</x:v>
      </x:c>
      <x:c r="C69" s="14" t="str">
        <x:v>Financeiro</x:v>
      </x:c>
      <x:c r="D69" s="14" t="str">
        <x:v>Budget Manager</x:v>
      </x:c>
      <x:c r="E69" s="14" t="str">
        <x:v>Agente de orçamento IA</x:v>
      </x:c>
      <x:c r="F69" s="14" t="str">
        <x:v>Garante teto mensal de IA e controla gasto por task/sprint/modelo.</x:v>
      </x:c>
      <x:c r="G69" s="14" t="str">
        <x:v>Monitora custo real/estimado, limites warn/restrict/hard-stop, reservas e autorização de exceções.</x:v>
      </x:c>
      <x:c r="H69" s="14" t="str">
        <x:v>Model runs, pricing config, PostgreSQL.</x:v>
      </x:c>
      <x:c r="I69" s="14" t="str">
        <x:v>Bloquear/limitar chamadas pagas e emitir alertas.</x:v>
      </x:c>
      <x:c r="J69" s="14" t="str">
        <x:v>Cada chamada de modelo pago e fechamento mensal.</x:v>
      </x:c>
      <x:c r="K69" s="14" t="str">
        <x:v>Budget policy e saldo.</x:v>
      </x:c>
      <x:c r="L69" s="14" t="str">
        <x:v>Cost ledger e budget gate.</x:v>
      </x:c>
      <x:c r="M69" s="14" t="str">
        <x:v>Nunca ultrapassa hard-stop sem autorização humana explícita.</x:v>
      </x:c>
      <x:c r="N69" s="14" t="str">
        <x:v>Model Router/PO.</x:v>
      </x:c>
      <x:c r="O69" s="14" t="str">
        <x:v>Permanente</x:v>
      </x:c>
      <x:c r="P69" s="14" t="str">
        <x:v>Determinístico</x:v>
      </x:c>
      <x:c r="Q69" s="14" t="str">
        <x:v>Crítica</x:v>
      </x:c>
      <x:c r="R69" s="14" t="str">
        <x:v>01a0e473-f644-769d-8ae3-769c0fa16faf</x:v>
      </x:c>
      <x:c r="S69" s="14" t="str">
        <x:v>F15 Skill Runtime + Memory/Context Engine | F16 Scheduler + Background Jobs | F20 Team Runtime</x:v>
      </x:c>
      <x:c r="T69" s="14" t="str">
        <x:v>budget.ai.enforce</x:v>
      </x:c>
      <x:c r="U69" s="14" t="str">
        <x:v>Skills versionadas; promoção só após prova; Memory/Context sob escopo; Context Pack mínimo; Job UUIDv7 + lease/heartbeat/resume em PostgreSQL</x:v>
      </x:c>
      <x:c r="V69" s="14" t="str">
        <x:v>agent.budget.manager.started / .completed / .failed + evidence.ledger.recorded</x:v>
      </x:c>
      <x:c r="W69" s="14" t="str">
        <x:v>Least privilege; write sensível, gasto, publicação, privilégio ou ação destrutiva exigem gate explícito.</x:v>
      </x:c>
      <x:c r="X69" s="14" t="str">
        <x:v>oh-my-claudecode (MIT) — multiagentes/jobs/skills/router | Hermes — patterns; validar licença por versão | ZeroClaw — benchmark Rust/providers/tools</x:v>
      </x:c>
    </x:row>
    <x:row r="70" ht="62" customHeight="1">
      <x:c r="A70" s="14" t="n">
        <x:v>69</x:v>
      </x:c>
      <x:c r="B70" s="14" t="str">
        <x:v>IA &amp; Conhecimento</x:v>
      </x:c>
      <x:c r="C70" s="14" t="str">
        <x:v>IA</x:v>
      </x:c>
      <x:c r="D70" s="14" t="str">
        <x:v>Model Router</x:v>
      </x:c>
      <x:c r="E70" s="14" t="str">
        <x:v>Agente roteador</x:v>
      </x:c>
      <x:c r="F70" s="14" t="str">
        <x:v>Escolhe Ollama, Codex, Claude ou outro provider conforme tarefa, custo e reputação.</x:v>
      </x:c>
      <x:c r="G70" s="14" t="str">
        <x:v>Classifica complexidade, privacidade, latência, skills e budget; aplica fallback/escalation ladder.</x:v>
      </x:c>
      <x:c r="H70" s="14" t="str">
        <x:v>Model Registry, reputation, Budget Engine, provider adapters.</x:v>
      </x:c>
      <x:c r="I70" s="14" t="str">
        <x:v>Selecionar modelo, retry/escalar e registrar decisão.</x:v>
      </x:c>
      <x:c r="J70" s="14" t="str">
        <x:v>Toda tarefa LLM.</x:v>
      </x:c>
      <x:c r="K70" s="14" t="str">
        <x:v>Task profile e Context Pack.</x:v>
      </x:c>
      <x:c r="L70" s="14" t="str">
        <x:v>Model assignment + rationale.</x:v>
      </x:c>
      <x:c r="M70" s="14" t="str">
        <x:v>Não bypassa orçamento/privacidade.</x:v>
      </x:c>
      <x:c r="N70" s="14" t="str">
        <x:v>Agent runtime.</x:v>
      </x:c>
      <x:c r="O70" s="14" t="str">
        <x:v>Permanente</x:v>
      </x:c>
      <x:c r="P70" s="14" t="str">
        <x:v>Determinístico/Ollama</x:v>
      </x:c>
      <x:c r="Q70" s="14" t="str">
        <x:v>Crítica</x:v>
      </x:c>
      <x:c r="R70" s="14" t="str">
        <x:v>01a0e473-f645-7d82-8aff-cfaaa5ab5e3d</x:v>
      </x:c>
      <x:c r="S70" s="14" t="str">
        <x:v>F15 Skill Runtime + Memory/Context Engine | F16 Scheduler + Background Jobs | F19 Repo Intelligence / Tree-sitter | F20 Team Runtime | F23 Secret &amp; Credential Broker</x:v>
      </x:c>
      <x:c r="T70" s="14" t="str">
        <x:v>model.route</x:v>
      </x:c>
      <x:c r="U70" s="14" t="str">
        <x:v>Skills versionadas; promoção só após prova; Memory/Context sob escopo; Context Pack mínimo; Job UUIDv7 + lease/heartbeat/resume em PostgreSQL; Somente metadados de segredo; valores nunca em prompt/log</x:v>
      </x:c>
      <x:c r="V70" s="14" t="str">
        <x:v>agent.model.router.started / .completed / .failed + evidence.ledger.recorded</x:v>
      </x:c>
      <x:c r="W70" s="14" t="str">
        <x:v>Least privilege; write sensível, gasto, publicação, privilégio ou ação destrutiva exigem gate explícito. Credenciais via broker/leases; nunca em prompt.</x:v>
      </x:c>
      <x:c r="X70" s="14" t="str">
        <x:v>Architect (MIT) — AST/Tree-sitter/Repo Intelligence | oh-my-claudecode (MIT) — multiagentes/jobs/skills/router | Hermes — patterns; validar licença por versão</x:v>
      </x:c>
    </x:row>
    <x:row r="71" ht="62" customHeight="1">
      <x:c r="A71" s="14" t="n">
        <x:v>70</x:v>
      </x:c>
      <x:c r="B71" s="14" t="str">
        <x:v>IA &amp; Conhecimento</x:v>
      </x:c>
      <x:c r="C71" s="14" t="str">
        <x:v>IA</x:v>
      </x:c>
      <x:c r="D71" s="14" t="str">
        <x:v>Model Evaluator</x:v>
      </x:c>
      <x:c r="E71" s="14" t="str">
        <x:v>Agente de avaliação de modelos</x:v>
      </x:c>
      <x:c r="F71" s="14" t="str">
        <x:v>Mede qualidade, custo, latência e regressão de cada modelo por tipo de trabalho.</x:v>
      </x:c>
      <x:c r="G71" s="14" t="str">
        <x:v>Mantém eval sets, first-pass success, bugs, QA rejects, cost/task e token efficiency.</x:v>
      </x:c>
      <x:c r="H71" s="14" t="str">
        <x:v>Evaluation datasets, Model runs, QA outcomes.</x:v>
      </x:c>
      <x:c r="I71" s="14" t="str">
        <x:v>Rodar evals e atualizar reputation scores.</x:v>
      </x:c>
      <x:c r="J71" s="14" t="str">
        <x:v>Nova versão/modelo ou periodicamente.</x:v>
      </x:c>
      <x:c r="K71" s="14" t="str">
        <x:v>Resultados reais de tarefas e evals.</x:v>
      </x:c>
      <x:c r="L71" s="14" t="str">
        <x:v>Model Scorecard.</x:v>
      </x:c>
      <x:c r="M71" s="14" t="str">
        <x:v>Não privilegia marca; usa evidência.</x:v>
      </x:c>
      <x:c r="N71" s="14" t="str">
        <x:v>Model Router/Budget.</x:v>
      </x:c>
      <x:c r="O71" s="14" t="str">
        <x:v>Permanente</x:v>
      </x:c>
      <x:c r="P71" s="14" t="str">
        <x:v>Ollama</x:v>
      </x:c>
      <x:c r="Q71" s="14" t="str">
        <x:v>Alta</x:v>
      </x:c>
      <x:c r="R71" s="14" t="str">
        <x:v>01a0e473-f646-708d-8a03-c285edd8d91e</x:v>
      </x:c>
      <x:c r="S71" s="14" t="str">
        <x:v>F15 Skill Runtime + Memory/Context Engine | F20 Team Runtime | F24 Auto-learning + Skill Evolution | F25 Knowledge / Evidence Graph</x:v>
      </x:c>
      <x:c r="T71" s="14" t="str">
        <x:v>model.evaluate</x:v>
      </x:c>
      <x:c r="U71" s="14" t="str">
        <x:v>Skills versionadas; promoção só após prova; Memory/Context sob escopo; Context Pack mínimo; Candidate Skill → Hypothesis → OPA/QA → Registry; Knowledge/Evidence Graph com proveniência</x:v>
      </x:c>
      <x:c r="V71" s="14" t="str">
        <x:v>agent.model.evaluator.started / .completed / .failed + evidence.ledger.recorded</x:v>
      </x:c>
      <x:c r="W71" s="14" t="str">
        <x:v>Least privilege; writes policy-gated; evidência obrigatória; sem autoaprovação.</x:v>
      </x:c>
      <x:c r="X71" s="14" t="str">
        <x:v>oh-my-claudecode (MIT) — multiagentes/jobs/skills/router | Hermes — patterns; validar licença por versão | ZeroClaw — benchmark Rust/providers/tools</x:v>
      </x:c>
    </x:row>
    <x:row r="72" ht="62" customHeight="1">
      <x:c r="A72" s="14" t="n">
        <x:v>71</x:v>
      </x:c>
      <x:c r="B72" s="14" t="str">
        <x:v>Gestão &amp; Financeiro</x:v>
      </x:c>
      <x:c r="C72" s="14" t="str">
        <x:v>Gestão</x:v>
      </x:c>
      <x:c r="D72" s="14" t="str">
        <x:v>Scrum Master</x:v>
      </x:c>
      <x:c r="E72" s="14" t="str">
        <x:v>Agente de fluxo</x:v>
      </x:c>
      <x:c r="F72" s="14" t="str">
        <x:v>Mantém sprints executáveis, WIP controlado e impedimentos visíveis.</x:v>
      </x:c>
      <x:c r="G72" s="14" t="str">
        <x:v>Acompanha board, dependências, DoD, aging, blocked tasks e cadência.</x:v>
      </x:c>
      <x:c r="H72" s="14" t="str">
        <x:v>Sprint/Task Graph, metrics.</x:v>
      </x:c>
      <x:c r="I72" s="14" t="str">
        <x:v>Abrir/fechar cerimônias automatizadas, sinalizar impedimentos, limitar WIP.</x:v>
      </x:c>
      <x:c r="J72" s="14" t="str">
        <x:v>Sprint ativa.</x:v>
      </x:c>
      <x:c r="K72" s="14" t="str">
        <x:v>Backlog priorizado.</x:v>
      </x:c>
      <x:c r="L72" s="14" t="str">
        <x:v>Sprint health report.</x:v>
      </x:c>
      <x:c r="M72" s="14" t="str">
        <x:v>Não muda prioridade de produto sem PO/PMO.</x:v>
      </x:c>
      <x:c r="N72" s="14" t="str">
        <x:v>Orchestrator/PMO.</x:v>
      </x:c>
      <x:c r="O72" s="14" t="str">
        <x:v>Permanente</x:v>
      </x:c>
      <x:c r="P72" s="14" t="str">
        <x:v>Ollama</x:v>
      </x:c>
      <x:c r="Q72" s="14" t="str">
        <x:v>Média</x:v>
      </x:c>
      <x:c r="R72" s="14" t="str">
        <x:v>01a0e473-f647-7ab3-878b-993eea61b825</x:v>
      </x:c>
      <x:c r="S72" s="14" t="str">
        <x:v>F16 Scheduler + Background Jobs | F20 Team Runtime</x:v>
      </x:c>
      <x:c r="T72" s="14" t="str">
        <x:v>workflow.scrum.manage</x:v>
      </x:c>
      <x:c r="U72" s="14" t="str">
        <x:v>Job UUIDv7 + lease/heartbeat/resume em PostgreSQL</x:v>
      </x:c>
      <x:c r="V72" s="14" t="str">
        <x:v>agent.scrum.master.started / .completed / .failed + evidence.ledger.recorded</x:v>
      </x:c>
      <x:c r="W72" s="14" t="str">
        <x:v>Sandbox por padrão; capabilities escopadas; sem secrets diretos.</x:v>
      </x:c>
      <x:c r="X72" s="14" t="str">
        <x:v>oh-my-claudecode (MIT) — multiagentes/jobs/skills/router | Hermes — patterns; validar licença por versão | ZeroClaw — benchmark Rust/providers/tools</x:v>
      </x:c>
    </x:row>
    <x:row r="73" ht="62" customHeight="1">
      <x:c r="A73" s="14" t="n">
        <x:v>72</x:v>
      </x:c>
      <x:c r="B73" s="14" t="str">
        <x:v>Gestão &amp; Financeiro</x:v>
      </x:c>
      <x:c r="C73" s="14" t="str">
        <x:v>Gestão</x:v>
      </x:c>
      <x:c r="D73" s="14" t="str">
        <x:v>PMO / Planner</x:v>
      </x:c>
      <x:c r="E73" s="14" t="str">
        <x:v>Agente de planejamento</x:v>
      </x:c>
      <x:c r="F73" s="14" t="str">
        <x:v>Mantém roadmap, capacidade, dependências e previsão de entrega.</x:v>
      </x:c>
      <x:c r="G73" s="14" t="str">
        <x:v>Planeja epics/sprints, critical path, capacidade de agentes/infra e marcos PFAT/releases.</x:v>
      </x:c>
      <x:c r="H73" s="14" t="str">
        <x:v>Roadmap DB, task graph, velocity/cost metrics.</x:v>
      </x:c>
      <x:c r="I73" s="14" t="str">
        <x:v>Priorizar sequência técnica, prever capacidade e risco.</x:v>
      </x:c>
      <x:c r="J73" s="14" t="str">
        <x:v>Planejamento mensal/quarterly ou mudança relevante.</x:v>
      </x:c>
      <x:c r="K73" s="14" t="str">
        <x:v>Objetivos PO e arquitetura.</x:v>
      </x:c>
      <x:c r="L73" s="14" t="str">
        <x:v>Roadmap e dependency plan.</x:v>
      </x:c>
      <x:c r="M73" s="14" t="str">
        <x:v>Não sobrepõe aceite técnico dos gates.</x:v>
      </x:c>
      <x:c r="N73" s="14" t="str">
        <x:v>Scrum Master/Orchestrator.</x:v>
      </x:c>
      <x:c r="O73" s="14" t="str">
        <x:v>Permanente</x:v>
      </x:c>
      <x:c r="P73" s="14" t="str">
        <x:v>Ollama</x:v>
      </x:c>
      <x:c r="Q73" s="14" t="str">
        <x:v>Alta</x:v>
      </x:c>
      <x:c r="R73" s="14" t="str">
        <x:v>01a0e473-f648-750b-a5bd-559e1bb9ce20</x:v>
      </x:c>
      <x:c r="S73" s="14" t="str">
        <x:v>F16 Scheduler + Background Jobs | F17 Checkpoint + Rollback | F20 Team Runtime | F22 Device Nodes</x:v>
      </x:c>
      <x:c r="T73" s="14" t="str">
        <x:v>planning.portfolio.manage</x:v>
      </x:c>
      <x:c r="U73" s="14" t="str">
        <x:v>Job UUIDv7 + lease/heartbeat/resume em PostgreSQL; Checkpoint manifest + hashes + rollback evidence; Node/session state efêmero e pareado</x:v>
      </x:c>
      <x:c r="V73" s="14" t="str">
        <x:v>agent.pmo.planner.started / .completed / .failed + evidence.ledger.recorded</x:v>
      </x:c>
      <x:c r="W73" s="14" t="str">
        <x:v>Least privilege; writes policy-gated; evidência obrigatória; sem autoaprovação. Device input/screen exige autorização de sessão e logging.</x:v>
      </x:c>
      <x:c r="X73" s="14" t="str">
        <x:v>oh-my-claudecode (MIT) — multiagentes/jobs/skills/router | Hermes — patterns; validar licença por versão | OpenClaw — gateway/nodes/channels; validar licença por versão</x:v>
      </x:c>
    </x:row>
    <x:row r="74" ht="62" customHeight="1">
      <x:c r="A74" s="14" t="n">
        <x:v>73</x:v>
      </x:c>
      <x:c r="B74" s="14" t="str">
        <x:v>Segurança &amp; Compliance</x:v>
      </x:c>
      <x:c r="C74" s="14" t="str">
        <x:v>Licenças</x:v>
      </x:c>
      <x:c r="D74" s="14" t="str">
        <x:v>Licensor / Clean-Room Guardian</x:v>
      </x:c>
      <x:c r="E74" s="14" t="str">
        <x:v>Agente de proveniência</x:v>
      </x:c>
      <x:c r="F74" s="14" t="str">
        <x:v>Protege licenças, copyright, proveniência e clean-room engineering.</x:v>
      </x:c>
      <x:c r="G74" s="14" t="str">
        <x:v>Classifica licença, origem, compatibilidade, proíbe ingestão de código vazado/incompatível e separa especificação de implementação.</x:v>
      </x:c>
      <x:c r="H74" s="14" t="str">
        <x:v>Source Registry, license texts, SBOM, Git provenance.</x:v>
      </x:c>
      <x:c r="I74" s="14" t="str">
        <x:v>APPROVE/QUARANTINE/BLOCK source e registrar provenance.</x:v>
      </x:c>
      <x:c r="J74" s="14" t="str">
        <x:v>Novo código externo, dataset, repo ou plugin.</x:v>
      </x:c>
      <x:c r="K74" s="14" t="str">
        <x:v>Fonte/licença e uso pretendido.</x:v>
      </x:c>
      <x:c r="L74" s="14" t="str">
        <x:v>Provenance/Clean-room Gate.</x:v>
      </x:c>
      <x:c r="M74" s="14" t="str">
        <x:v>Não autoriza reutilização sem base de licença.</x:v>
      </x:c>
      <x:c r="N74" s="14" t="str">
        <x:v>Technology Harvest/Supply Chain.</x:v>
      </x:c>
      <x:c r="O74" s="14" t="str">
        <x:v>Permanente</x:v>
      </x:c>
      <x:c r="P74" s="14" t="str">
        <x:v>Claude/Ollama</x:v>
      </x:c>
      <x:c r="Q74" s="14" t="str">
        <x:v>Crítica</x:v>
      </x:c>
      <x:c r="R74" s="14" t="str">
        <x:v>01a0e473-f649-7199-8ffe-8302e5f79a04</x:v>
      </x:c>
      <x:c r="S74" s="14" t="str">
        <x:v>F15 Skill Runtime + Memory/Context Engine | F19 Repo Intelligence / Tree-sitter | F23 Secret &amp; Credential Broker</x:v>
      </x:c>
      <x:c r="T74" s="14" t="str">
        <x:v>governance.constitution.enforce</x:v>
      </x:c>
      <x:c r="U74" s="14" t="str">
        <x:v>Skills versionadas; promoção só após prova; Memory/Context sob escopo; Context Pack mínimo; Somente metadados de segredo; valores nunca em prompt/log; Estado operacional persistente em PostgreSQL</x:v>
      </x:c>
      <x:c r="V74" s="14" t="str">
        <x:v>agent.licensor.clean.room.guardian.started / .completed / .failed + evidence.ledger.recorded</x:v>
      </x:c>
      <x:c r="W74" s="14" t="str">
        <x:v>Least privilege; write sensível, gasto, publicação, privilégio ou ação destrutiva exigem gate explícito. Credenciais via broker/leases; nunca em prompt.</x:v>
      </x:c>
      <x:c r="X74" s="14" t="str">
        <x:v>Architect (MIT) — AST/Tree-sitter/Repo Intelligence | oh-my-claudecode (MIT) — multiagentes/jobs/skills/router | Hermes — patterns; validar licença por versão</x:v>
      </x:c>
    </x:row>
    <x:row r="75" ht="62" customHeight="1">
      <x:c r="A75" s="14" t="n">
        <x:v>74</x:v>
      </x:c>
      <x:c r="B75" s="14" t="str">
        <x:v>Segurança &amp; Compliance</x:v>
      </x:c>
      <x:c r="C75" s="14" t="str">
        <x:v>Supply Chain</x:v>
      </x:c>
      <x:c r="D75" s="14" t="str">
        <x:v>Supply Chain Guardian</x:v>
      </x:c>
      <x:c r="E75" s="14" t="str">
        <x:v>Agente de cadeia de suprimentos</x:v>
      </x:c>
      <x:c r="F75" s="14" t="str">
        <x:v>Audita crates, dependências transitivas, SBOM, CVEs, hashes e updates.</x:v>
      </x:c>
      <x:c r="G75" s="14" t="str">
        <x:v>Mantém inventory, vulnerability scan, signature/hash checks, typosquatting/risk review e update impact.</x:v>
      </x:c>
      <x:c r="H75" s="14" t="str">
        <x:v>Cargo.lock, SBOM tools, advisories, registry metadata.</x:v>
      </x:c>
      <x:c r="I75" s="14" t="str">
        <x:v>Bloquear dependency, abrir remediation, aprovar update.</x:v>
      </x:c>
      <x:c r="J75" s="14" t="str">
        <x:v>Nova dependência/update/release.</x:v>
      </x:c>
      <x:c r="K75" s="14" t="str">
        <x:v>Dependency manifest.</x:v>
      </x:c>
      <x:c r="L75" s="14" t="str">
        <x:v>Supply-chain report/gate.</x:v>
      </x:c>
      <x:c r="M75" s="14" t="str">
        <x:v>Não atualiza automaticamente produção.</x:v>
      </x:c>
      <x:c r="N75" s="14" t="str">
        <x:v>Thompson/Versionador.</x:v>
      </x:c>
      <x:c r="O75" s="14" t="str">
        <x:v>Permanente</x:v>
      </x:c>
      <x:c r="P75" s="14" t="str">
        <x:v>Ollama/Claude</x:v>
      </x:c>
      <x:c r="Q75" s="14" t="str">
        <x:v>Crítica</x:v>
      </x:c>
      <x:c r="R75" s="14" t="str">
        <x:v>01a0e473-f64a-778d-b1d0-39f299fdcb68</x:v>
      </x:c>
      <x:c r="S75" s="14" t="str">
        <x:v>F19 Repo Intelligence / Tree-sitter | F23 Secret &amp; Credential Broker</x:v>
      </x:c>
      <x:c r="T75" s="14" t="str">
        <x:v>governance.constitution.enforce</x:v>
      </x:c>
      <x:c r="U75" s="14" t="str">
        <x:v>Somente metadados de segredo; valores nunca em prompt/log; Estado operacional persistente em PostgreSQL</x:v>
      </x:c>
      <x:c r="V75" s="14" t="str">
        <x:v>agent.supply.chain.guardian.started / .completed / .failed + evidence.ledger.recorded</x:v>
      </x:c>
      <x:c r="W75" s="14" t="str">
        <x:v>Least privilege; write sensível, gasto, publicação, privilégio ou ação destrutiva exigem gate explícito. Credenciais via broker/leases; nunca em prompt.</x:v>
      </x:c>
      <x:c r="X75" s="14" t="str">
        <x:v>Architect (MIT) — AST/Tree-sitter/Repo Intelligence | Hermes — patterns; validar licença por versão | OpenClaw — gateway/nodes/channels; validar licença por versão</x:v>
      </x:c>
    </x:row>
    <x:row r="76" ht="62" customHeight="1">
      <x:c r="A76" s="14" t="n">
        <x:v>75</x:v>
      </x:c>
      <x:c r="B76" s="14" t="str">
        <x:v>Segurança &amp; Compliance</x:v>
      </x:c>
      <x:c r="C76" s="14" t="str">
        <x:v>Privacidade</x:v>
      </x:c>
      <x:c r="D76" s="14" t="str">
        <x:v>Privacy/Data Governance</x:v>
      </x:c>
      <x:c r="E76" s="14" t="str">
        <x:v>Agente de governança de dados</x:v>
      </x:c>
      <x:c r="F76" s="14" t="str">
        <x:v>Controla classificação, retenção, PII, logs, anonimização e uso de dados.</x:v>
      </x:c>
      <x:c r="G76" s="14" t="str">
        <x:v>Define data classes, retention, minimization, masking, export/deletion policy e limites de contexto de LLM.</x:v>
      </x:c>
      <x:c r="H76" s="14" t="str">
        <x:v>Schemas, logs, DB catalog, policy registry.</x:v>
      </x:c>
      <x:c r="I76" s="14" t="str">
        <x:v>Classificar dados, bloquear exposição, definir retenção e anonimização.</x:v>
      </x:c>
      <x:c r="J76" s="14" t="str">
        <x:v>Novo dataset/campo/log/provider.</x:v>
      </x:c>
      <x:c r="K76" s="14" t="str">
        <x:v>Data inventory.</x:v>
      </x:c>
      <x:c r="L76" s="14" t="str">
        <x:v>Data Governance Gate.</x:v>
      </x:c>
      <x:c r="M76" s="14" t="str">
        <x:v>Não envia PII a modelo externo sem política/autorização.</x:v>
      </x:c>
      <x:c r="N76" s="14" t="str">
        <x:v>Secrets/Model Router/QA.</x:v>
      </x:c>
      <x:c r="O76" s="14" t="str">
        <x:v>Permanente</x:v>
      </x:c>
      <x:c r="P76" s="14" t="str">
        <x:v>Claude/Ollama</x:v>
      </x:c>
      <x:c r="Q76" s="14" t="str">
        <x:v>Crítica</x:v>
      </x:c>
      <x:c r="R76" s="14" t="str">
        <x:v>01a0e473-f64b-7d70-a70b-ecbeb962da57</x:v>
      </x:c>
      <x:c r="S76" s="14" t="str">
        <x:v>F15 Skill Runtime + Memory/Context Engine | F20 Team Runtime | F23 Secret &amp; Credential Broker | F25 Knowledge / Evidence Graph</x:v>
      </x:c>
      <x:c r="T76" s="14" t="str">
        <x:v>privacy.data.govern</x:v>
      </x:c>
      <x:c r="U76" s="14" t="str">
        <x:v>Skills versionadas; promoção só após prova; Memory/Context sob escopo; Context Pack mínimo; Somente metadados de segredo; valores nunca em prompt/log; Knowledge/Evidence Graph com proveniência</x:v>
      </x:c>
      <x:c r="V76" s="14" t="str">
        <x:v>agent.privacy.data.governance.started / .completed / .failed + evidence.ledger.recorded</x:v>
      </x:c>
      <x:c r="W76" s="14" t="str">
        <x:v>Least privilege; write sensível, gasto, publicação, privilégio ou ação destrutiva exigem gate explícito. Credenciais via broker/leases; nunca em prompt.</x:v>
      </x:c>
      <x:c r="X76" s="14" t="str">
        <x:v>oh-my-claudecode (MIT) — multiagentes/jobs/skills/router | Hermes — patterns; validar licença por versão | OpenClaw — gateway/nodes/channels; validar licença por versão</x:v>
      </x:c>
    </x:row>
    <x:row r="77" ht="62" customHeight="1">
      <x:c r="A77" s="14" t="n">
        <x:v>76</x:v>
      </x:c>
      <x:c r="B77" s="14" t="str">
        <x:v>Creative Studio &amp; UX</x:v>
      </x:c>
      <x:c r="C77" s="14" t="str">
        <x:v>UX</x:v>
      </x:c>
      <x:c r="D77" s="14" t="str">
        <x:v>Accessibility Agent</x:v>
      </x:c>
      <x:c r="E77" s="14" t="str">
        <x:v>Agente de acessibilidade</x:v>
      </x:c>
      <x:c r="F77" s="14" t="str">
        <x:v>Garante uso por teclado, contraste, foco, semântica e tecnologias assistivas.</x:v>
      </x:c>
      <x:c r="G77" s="14" t="str">
        <x:v>Audita WCAG aplicável, screen reader tree, focus order, states, motion preferences e contraste.</x:v>
      </x:c>
      <x:c r="H77" s="14" t="str">
        <x:v>Accessibility tree, browser tools, visual specs.</x:v>
      </x:c>
      <x:c r="I77" s="14" t="str">
        <x:v>Bloquear UI inacessível e propor correções.</x:v>
      </x:c>
      <x:c r="J77" s="14" t="str">
        <x:v>Toda feature UI/template/theme.</x:v>
      </x:c>
      <x:c r="K77" s="14" t="str">
        <x:v>Build visual e component semantics.</x:v>
      </x:c>
      <x:c r="L77" s="14" t="str">
        <x:v>Accessibility Report/Gate.</x:v>
      </x:c>
      <x:c r="M77" s="14" t="str">
        <x:v>Pode barrar decisão estética.</x:v>
      </x:c>
      <x:c r="N77" s="14" t="str">
        <x:v>User Proof/QA.</x:v>
      </x:c>
      <x:c r="O77" s="14" t="str">
        <x:v>Permanente</x:v>
      </x:c>
      <x:c r="P77" s="14" t="str">
        <x:v>Ollama/Claude</x:v>
      </x:c>
      <x:c r="Q77" s="14" t="str">
        <x:v>Alta</x:v>
      </x:c>
      <x:c r="R77" s="14" t="str">
        <x:v>01a0e473-f64c-73f4-983a-ba644c60d255</x:v>
      </x:c>
      <x:c r="S77" s="14" t="str">
        <x:v>F22 Device Nodes</x:v>
      </x:c>
      <x:c r="T77" s="14" t="str">
        <x:v>accessibility.validate</x:v>
      </x:c>
      <x:c r="U77" s="14" t="str">
        <x:v>Node/session state efêmero e pareado; Estado operacional persistente em PostgreSQL</x:v>
      </x:c>
      <x:c r="V77" s="14" t="str">
        <x:v>agent.accessibility.agent.started / .completed / .failed + evidence.ledger.recorded</x:v>
      </x:c>
      <x:c r="W77" s="14" t="str">
        <x:v>Least privilege; writes policy-gated; evidência obrigatória; sem autoaprovação. Device input/screen exige autorização de sessão e logging.</x:v>
      </x:c>
      <x:c r="X77" s="14" t="str">
        <x:v>OpenClaw — gateway/nodes/channels; validar licença por versão | ZeroClaw — benchmark Rust/providers/tools</x:v>
      </x:c>
    </x:row>
    <x:row r="78" ht="62" customHeight="1">
      <x:c r="A78" s="14" t="n">
        <x:v>77</x:v>
      </x:c>
      <x:c r="B78" s="14" t="str">
        <x:v>Qualidade &amp; Provas</x:v>
      </x:c>
      <x:c r="C78" s="14" t="str">
        <x:v>Compatibilidade</x:v>
      </x:c>
      <x:c r="D78" s="14" t="str">
        <x:v>Compatibility Agent</x:v>
      </x:c>
      <x:c r="E78" s="14" t="str">
        <x:v>Agente de compatibilidade</x:v>
      </x:c>
      <x:c r="F78" s="14" t="str">
        <x:v>Prova compatibilidade retroativa de IR, PHX JSON, APIs, templates e projetos antigos.</x:v>
      </x:c>
      <x:c r="G78" s="14" t="str">
        <x:v>Mantém corpus de versões, executa migrations e smoke tests em old projects/targets.</x:v>
      </x:c>
      <x:c r="H78" s="14" t="str">
        <x:v>Version matrix, migration suite, archived projects.</x:v>
      </x:c>
      <x:c r="I78" s="14" t="str">
        <x:v>Testar forward/backward compatibility e bloquear breaking não tratado.</x:v>
      </x:c>
      <x:c r="J78" s="14" t="str">
        <x:v>Mudança de schema/API/runtime/toolchain.</x:v>
      </x:c>
      <x:c r="K78" s="14" t="str">
        <x:v>Versões anteriores e migrators.</x:v>
      </x:c>
      <x:c r="L78" s="14" t="str">
        <x:v>Compatibility Matrix/Gate.</x:v>
      </x:c>
      <x:c r="M78" s="14" t="str">
        <x:v>Não aceita quebra silenciosa.</x:v>
      </x:c>
      <x:c r="N78" s="14" t="str">
        <x:v>Versionador/Migration Guardian/QA2.</x:v>
      </x:c>
      <x:c r="O78" s="14" t="str">
        <x:v>Permanente</x:v>
      </x:c>
      <x:c r="P78" s="14" t="str">
        <x:v>Ollama/Codex</x:v>
      </x:c>
      <x:c r="Q78" s="14" t="str">
        <x:v>Crítica</x:v>
      </x:c>
      <x:c r="R78" s="14" t="str">
        <x:v>01a0e473-f64d-75cd-8a00-29b3680a7558</x:v>
      </x:c>
      <x:c r="S78" s="14" t="str">
        <x:v>F17 Checkpoint + Rollback | F18 MCP + LSP Runtime | F19 Repo Intelligence / Tree-sitter</x:v>
      </x:c>
      <x:c r="T78" s="14" t="str">
        <x:v>compatibility.validate</x:v>
      </x:c>
      <x:c r="U78" s="14" t="str">
        <x:v>Checkpoint manifest + hashes + rollback evidence; Estado operacional persistente em PostgreSQL</x:v>
      </x:c>
      <x:c r="V78" s="14" t="str">
        <x:v>agent.compatibility.agent.started / .completed / .failed + evidence.ledger.recorded</x:v>
      </x:c>
      <x:c r="W78" s="14" t="str">
        <x:v>Least privilege; write sensível, gasto, publicação, privilégio ou ação destrutiva exigem gate explícito.</x:v>
      </x:c>
      <x:c r="X78" s="14" t="str">
        <x:v>Architect (MIT) — AST/Tree-sitter/Repo Intelligence | Hermes — patterns; validar licença por versão | ZeroClaw — benchmark Rust/providers/tools</x:v>
      </x:c>
    </x:row>
    <x:row r="79" ht="62" customHeight="1">
      <x:c r="A79" s="14" t="n">
        <x:v>78</x:v>
      </x:c>
      <x:c r="B79" s="14" t="str">
        <x:v>Operações &amp; Infraestrutura</x:v>
      </x:c>
      <x:c r="C79" s="14" t="str">
        <x:v>Resiliência</x:v>
      </x:c>
      <x:c r="D79" s="14" t="str">
        <x:v>Chaos/Resilience Agent</x:v>
      </x:c>
      <x:c r="E79" s="14" t="str">
        <x:v>Agente de caos</x:v>
      </x:c>
      <x:c r="F79" s="14" t="str">
        <x:v>Prova recuperação sob falhas reais controladas.</x:v>
      </x:c>
      <x:c r="G79" s="14" t="str">
        <x:v>Injeta falhas em DB, rede, disk, worker, Ollama, build, storage e mede recovery/SLO.</x:v>
      </x:c>
      <x:c r="H79" s="14" t="str">
        <x:v>Sandbox/Proxmox, fault injection, observability.</x:v>
      </x:c>
      <x:c r="I79" s="14" t="str">
        <x:v>Executar chaos drills e produzir resilience proof.</x:v>
      </x:c>
      <x:c r="J79" s="14" t="str">
        <x:v>Antes de releases críticas e periodicamente.</x:v>
      </x:c>
      <x:c r="K79" s="14" t="str">
        <x:v>Runbooks e topology.</x:v>
      </x:c>
      <x:c r="L79" s="14" t="str">
        <x:v>Resilience Report.</x:v>
      </x:c>
      <x:c r="M79" s="14" t="str">
        <x:v>Só em ambientes aprovados; nunca produção sem autorização.</x:v>
      </x:c>
      <x:c r="N79" s="14" t="str">
        <x:v>Niobe/SRE/QA3.</x:v>
      </x:c>
      <x:c r="O79" s="14" t="str">
        <x:v>Sob demanda</x:v>
      </x:c>
      <x:c r="P79" s="14" t="str">
        <x:v>Determinístico/Ollama</x:v>
      </x:c>
      <x:c r="Q79" s="14" t="str">
        <x:v>Alta</x:v>
      </x:c>
      <x:c r="R79" s="14" t="str">
        <x:v>01a0e473-f64e-7b28-ac9d-f846ee62aee3</x:v>
      </x:c>
      <x:c r="S79" s="14" t="str">
        <x:v>F15 Skill Runtime + Memory/Context Engine | F16 Scheduler + Background Jobs | F17 Checkpoint + Rollback | F22 Device Nodes</x:v>
      </x:c>
      <x:c r="T79" s="14" t="str">
        <x:v>resilience.chaos.test</x:v>
      </x:c>
      <x:c r="U79" s="14" t="str">
        <x:v>Skills versionadas; promoção só após prova; Memory/Context sob escopo; Context Pack mínimo; Job UUIDv7 + lease/heartbeat/resume em PostgreSQL; Checkpoint manifest + hashes + rollback evidence</x:v>
      </x:c>
      <x:c r="V79" s="14" t="str">
        <x:v>agent.chaos.resilience.agent.started / .completed / .failed + evidence.ledger.recorded</x:v>
      </x:c>
      <x:c r="W79" s="14" t="str">
        <x:v>Least privilege; writes policy-gated; evidência obrigatória; sem autoaprovação. Device input/screen exige autorização de sessão e logging.</x:v>
      </x:c>
      <x:c r="X79" s="14" t="str">
        <x:v>oh-my-claudecode (MIT) — multiagentes/jobs/skills/router | Hermes — patterns; validar licença por versão | OpenClaw — gateway/nodes/channels; validar licença por versão</x:v>
      </x:c>
    </x:row>
    <x:row r="80" ht="62" customHeight="1">
      <x:c r="A80" s="14" t="n">
        <x:v>79</x:v>
      </x:c>
      <x:c r="B80" s="14" t="str">
        <x:v>Segurança &amp; Compliance</x:v>
      </x:c>
      <x:c r="C80" s="14" t="str">
        <x:v>Segurança IA</x:v>
      </x:c>
      <x:c r="D80" s="14" t="str">
        <x:v>Agent Red Team</x:v>
      </x:c>
      <x:c r="E80" s="14" t="str">
        <x:v>Agente adversarial de IA</x:v>
      </x:c>
      <x:c r="F80" s="14" t="str">
        <x:v>Ataca a própria fábrica de agentes para encontrar abuso de tools/context/secrets.</x:v>
      </x:c>
      <x:c r="G80" s="14" t="str">
        <x:v>Testa prompt injection, tool poisoning, fake evidence, malicious repo, privilege escalation e sandbox escape.</x:v>
      </x:c>
      <x:c r="H80" s="14" t="str">
        <x:v>Malicious fixtures, Tool Gateway, sandbox, model adapters.</x:v>
      </x:c>
      <x:c r="I80" s="14" t="str">
        <x:v>Simular ataques, registrar exploit e exigir mitigação.</x:v>
      </x:c>
      <x:c r="J80" s="14" t="str">
        <x:v>Mudança em agents/tools/MCP/model gateway ou release.</x:v>
      </x:c>
      <x:c r="K80" s="14" t="str">
        <x:v>Threat scenarios.</x:v>
      </x:c>
      <x:c r="L80" s="14" t="str">
        <x:v>AI Security Gate.</x:v>
      </x:c>
      <x:c r="M80" s="14" t="str">
        <x:v>Ambiente autorizado e isolado.</x:v>
      </x:c>
      <x:c r="N80" s="14" t="str">
        <x:v>Seraph/Thompson/QA3.</x:v>
      </x:c>
      <x:c r="O80" s="14" t="str">
        <x:v>Sob demanda</x:v>
      </x:c>
      <x:c r="P80" s="14" t="str">
        <x:v>Claude/Codex</x:v>
      </x:c>
      <x:c r="Q80" s="14" t="str">
        <x:v>Crítica</x:v>
      </x:c>
      <x:c r="R80" s="14" t="str">
        <x:v>01a0e473-f64f-7808-9d6c-26c8b0404446</x:v>
      </x:c>
      <x:c r="S80" s="14" t="str">
        <x:v>F15 Skill Runtime + Memory/Context Engine | F17 Checkpoint + Rollback | F18 MCP + LSP Runtime | F19 Repo Intelligence / Tree-sitter | F22 Device Nodes | F23 Secret &amp; Credential Broker | F24 Auto-learning + Skill Evolution | F25 Knowledge / Evidence Graph</x:v>
      </x:c>
      <x:c r="T80" s="14" t="str">
        <x:v>security.ai.redteam</x:v>
      </x:c>
      <x:c r="U80" s="14" t="str">
        <x:v>Skills versionadas; promoção só após prova; Memory/Context sob escopo; Context Pack mínimo; Checkpoint manifest + hashes + rollback evidence; Node/session state efêmero e pareado</x:v>
      </x:c>
      <x:c r="V80" s="14" t="str">
        <x:v>agent.agent.red.team.started / .completed / .failed + evidence.ledger.recorded</x:v>
      </x:c>
      <x:c r="W80" s="14" t="str">
        <x:v>Least privilege; write sensível, gasto, publicação, privilégio ou ação destrutiva exigem gate explícito. Device input/screen exige autorização de sessão e logging. Credenciais via broker/leases; nunca em prompt.</x:v>
      </x:c>
      <x:c r="X80" s="14" t="str">
        <x:v>Architect (MIT) — AST/Tree-sitter/Repo Intelligence | oh-my-claudecode (MIT) — multiagentes/jobs/skills/router | Hermes — patterns; validar licença por versão</x:v>
      </x:c>
    </x:row>
    <x:row r="81" ht="62" customHeight="1">
      <x:c r="A81" s="14" t="n">
        <x:v>80</x:v>
      </x:c>
      <x:c r="B81" s="14" t="str">
        <x:v>Creative Studio &amp; UX</x:v>
      </x:c>
      <x:c r="C81" s="14" t="str">
        <x:v>UX</x:v>
      </x:c>
      <x:c r="D81" s="14" t="str">
        <x:v>User Proof / UX Research</x:v>
      </x:c>
      <x:c r="E81" s="14" t="str">
        <x:v>Agente de prova de usabilidade</x:v>
      </x:c>
      <x:c r="F81" s="14" t="str">
        <x:v>Verifica se uma pessoa consegue atingir o objetivo com clareza, rapidez e poucos erros.</x:v>
      </x:c>
      <x:c r="G81" s="14" t="str">
        <x:v>Executa jornadas, mede passos/cliques/tempo/erros, coleta fricções e compara alternativas.</x:v>
      </x:c>
      <x:c r="H81" s="14" t="str">
        <x:v>UI build, telemetry, scripted personas, Playwright quando útil.</x:v>
      </x:c>
      <x:c r="I81" s="14" t="str">
        <x:v>Executar user proof e emitir findings.</x:v>
      </x:c>
      <x:c r="J81" s="14" t="str">
        <x:v>Feature UX pronta após Accessibility.</x:v>
      </x:c>
      <x:c r="K81" s="14" t="str">
        <x:v>Objetivo de usuário e build.</x:v>
      </x:c>
      <x:c r="L81" s="14" t="str">
        <x:v>Usability Proof.</x:v>
      </x:c>
      <x:c r="M81" s="14" t="str">
        <x:v>Não substitui OPA técnico nem decide estética sozinho.</x:v>
      </x:c>
      <x:c r="N81" s="14" t="str">
        <x:v>QA/Creative Studio.</x:v>
      </x:c>
      <x:c r="O81" s="14" t="str">
        <x:v>Sob demanda</x:v>
      </x:c>
      <x:c r="P81" s="14" t="str">
        <x:v>Ollama/Claude</x:v>
      </x:c>
      <x:c r="Q81" s="14" t="str">
        <x:v>Alta</x:v>
      </x:c>
      <x:c r="R81" s="14" t="str">
        <x:v>01a0e473-f650-745e-af5f-d56782a190b1</x:v>
      </x:c>
      <x:c r="S81" s="14" t="str">
        <x:v>F15 Skill Runtime + Memory/Context Engine | F18 MCP + LSP Runtime | F19 Repo Intelligence / Tree-sitter | F24 Auto-learning + Skill Evolution | F25 Knowledge / Evidence Graph</x:v>
      </x:c>
      <x:c r="T81" s="14" t="str">
        <x:v>ux.prove</x:v>
      </x:c>
      <x:c r="U81" s="14" t="str">
        <x:v>Skills versionadas; promoção só após prova; Memory/Context sob escopo; Context Pack mínimo; Candidate Skill → Hypothesis → OPA/QA → Registry; Knowledge/Evidence Graph com proveniência</x:v>
      </x:c>
      <x:c r="V81" s="14" t="str">
        <x:v>agent.user.proof.ux.research.started / .completed / .failed + evidence.ledger.recorded</x:v>
      </x:c>
      <x:c r="W81" s="14" t="str">
        <x:v>Least privilege; writes policy-gated; evidência obrigatória; sem autoaprovação.</x:v>
      </x:c>
      <x:c r="X81" s="14" t="str">
        <x:v>Architect (MIT) — AST/Tree-sitter/Repo Intelligence | oh-my-claudecode (MIT) — multiagentes/jobs/skills/router | Hermes — patterns; validar licença por versão</x:v>
      </x:c>
    </x:row>
    <x:row r="82" ht="62" customHeight="1">
      <x:c r="A82" s="14" t="n">
        <x:v>81</x:v>
      </x:c>
      <x:c r="B82" s="14" t="str">
        <x:v>Gestão &amp; Financeiro</x:v>
      </x:c>
      <x:c r="C82" s="14" t="str">
        <x:v>Finanças</x:v>
      </x:c>
      <x:c r="D82" s="14" t="str">
        <x:v>FinOps Agent</x:v>
      </x:c>
      <x:c r="E82" s="14" t="str">
        <x:v>Agente de custo total</x:v>
      </x:c>
      <x:c r="F82" s="14" t="str">
        <x:v>Otimiza custo total de IA, cloud, energia, storage, builds e infraestrutura.</x:v>
      </x:c>
      <x:c r="G82" s="14" t="str">
        <x:v>Calcula TCO, custo por feature, por teste verde e por artifact; sugere rightsizing e políticas.</x:v>
      </x:c>
      <x:c r="H82" s="14" t="str">
        <x:v>Metrics, invoices/configs, power estimates, model costs.</x:v>
      </x:c>
      <x:c r="I82" s="14" t="str">
        <x:v>Analisar e propor redução de custo sem degradar SLO/qualidade.</x:v>
      </x:c>
      <x:c r="J82" s="14" t="str">
        <x:v>Fechamento mensal ou aumento de custo.</x:v>
      </x:c>
      <x:c r="K82" s="14" t="str">
        <x:v>Usage/cost data.</x:v>
      </x:c>
      <x:c r="L82" s="14" t="str">
        <x:v>FinOps/TCO Report.</x:v>
      </x:c>
      <x:c r="M82" s="14" t="str">
        <x:v>Não reduz gates de qualidade só por custo.</x:v>
      </x:c>
      <x:c r="N82" s="14" t="str">
        <x:v>PO/Budget/SRE.</x:v>
      </x:c>
      <x:c r="O82" s="14" t="str">
        <x:v>Permanente</x:v>
      </x:c>
      <x:c r="P82" s="14" t="str">
        <x:v>Ollama</x:v>
      </x:c>
      <x:c r="Q82" s="14" t="str">
        <x:v>Média</x:v>
      </x:c>
      <x:c r="R82" s="14" t="str">
        <x:v>01a0e473-f651-73ac-85cf-08512eae46c4</x:v>
      </x:c>
      <x:c r="S82" s="14" t="str">
        <x:v>F16 Scheduler + Background Jobs | F17 Checkpoint + Rollback | F20 Team Runtime | F22 Device Nodes</x:v>
      </x:c>
      <x:c r="T82" s="14" t="str">
        <x:v>cost.finops.optimize</x:v>
      </x:c>
      <x:c r="U82" s="14" t="str">
        <x:v>Job UUIDv7 + lease/heartbeat/resume em PostgreSQL; Checkpoint manifest + hashes + rollback evidence; Node/session state efêmero e pareado</x:v>
      </x:c>
      <x:c r="V82" s="14" t="str">
        <x:v>agent.finops.agent.started / .completed / .failed + evidence.ledger.recorded</x:v>
      </x:c>
      <x:c r="W82" s="14" t="str">
        <x:v>Sandbox por padrão; capabilities escopadas; sem secrets diretos. Device input/screen exige autorização de sessão e logging.</x:v>
      </x:c>
      <x:c r="X82" s="14" t="str">
        <x:v>oh-my-claudecode (MIT) — multiagentes/jobs/skills/router | Hermes — patterns; validar licença por versão | OpenClaw — gateway/nodes/channels; validar licença por versão</x:v>
      </x:c>
    </x:row>
    <x:row r="83" ht="62" customHeight="1">
      <x:c r="A83" s="14" t="n">
        <x:v>82</x:v>
      </x:c>
      <x:c r="B83" s="14" t="str">
        <x:v>Qualidade &amp; Provas</x:v>
      </x:c>
      <x:c r="C83" s="14" t="str">
        <x:v>Migração</x:v>
      </x:c>
      <x:c r="D83" s="14" t="str">
        <x:v>Migration Guardian</x:v>
      </x:c>
      <x:c r="E83" s="14" t="str">
        <x:v>Guardião de migrations</x:v>
      </x:c>
      <x:c r="F83" s="14" t="str">
        <x:v>Garante migrations seguras de DB, IR, JSON, templates e formatos.</x:v>
      </x:c>
      <x:c r="G83" s="14" t="str">
        <x:v>Valida forward/backward plan, data preservation, dry-run, rollback e compatibilidade.</x:v>
      </x:c>
      <x:c r="H83" s="14" t="str">
        <x:v>Migration scripts, snapshots, compatibility tests.</x:v>
      </x:c>
      <x:c r="I83" s="14" t="str">
        <x:v>Bloquear migration destrutiva, exigir backup/dry-run.</x:v>
      </x:c>
      <x:c r="J83" s="14" t="str">
        <x:v>Qualquer migration persistente.</x:v>
      </x:c>
      <x:c r="K83" s="14" t="str">
        <x:v>Schema diff e migration plan.</x:v>
      </x:c>
      <x:c r="L83" s="14" t="str">
        <x:v>Migration Gate + rollback proof.</x:v>
      </x:c>
      <x:c r="M83" s="14" t="str">
        <x:v>Não permite migration irreversível sem decisão explícita.</x:v>
      </x:c>
      <x:c r="N83" s="14" t="str">
        <x:v>Backup/Compatibility/QA3.</x:v>
      </x:c>
      <x:c r="O83" s="14" t="str">
        <x:v>Permanente</x:v>
      </x:c>
      <x:c r="P83" s="14" t="str">
        <x:v>Claude/Ollama</x:v>
      </x:c>
      <x:c r="Q83" s="14" t="str">
        <x:v>Crítica</x:v>
      </x:c>
      <x:c r="R83" s="14" t="str">
        <x:v>01a0e473-f652-73bf-95cc-e0fe919f7d54</x:v>
      </x:c>
      <x:c r="S83" s="14" t="str">
        <x:v>F17 Checkpoint + Rollback | F19 Repo Intelligence / Tree-sitter | F23 Secret &amp; Credential Broker | F25 Knowledge / Evidence Graph</x:v>
      </x:c>
      <x:c r="T83" s="14" t="str">
        <x:v>governance.constitution.enforce</x:v>
      </x:c>
      <x:c r="U83" s="14" t="str">
        <x:v>Checkpoint manifest + hashes + rollback evidence; Somente metadados de segredo; valores nunca em prompt/log; Knowledge/Evidence Graph com proveniência; Estado operacional persistente em PostgreSQL</x:v>
      </x:c>
      <x:c r="V83" s="14" t="str">
        <x:v>agent.migration.guardian.started / .completed / .failed + evidence.ledger.recorded</x:v>
      </x:c>
      <x:c r="W83" s="14" t="str">
        <x:v>Least privilege; write sensível, gasto, publicação, privilégio ou ação destrutiva exigem gate explícito. Credenciais via broker/leases; nunca em prompt.</x:v>
      </x:c>
      <x:c r="X83" s="14" t="str">
        <x:v>Architect (MIT) — AST/Tree-sitter/Repo Intelligence | Hermes — patterns; validar licença por versão | OpenClaw — gateway/nodes/channels; validar licença por versão</x:v>
      </x:c>
    </x:row>
    <x:row r="84" ht="62" customHeight="1">
      <x:c r="A84" s="14" t="n">
        <x:v>83</x:v>
      </x:c>
      <x:c r="B84" s="14" t="str">
        <x:v>Segurança &amp; Compliance</x:v>
      </x:c>
      <x:c r="C84" s="14" t="str">
        <x:v>Segurança</x:v>
      </x:c>
      <x:c r="D84" s="14" t="str">
        <x:v>Seraph</x:v>
      </x:c>
      <x:c r="E84" s="14" t="str">
        <x:v>Agente Zero Trust</x:v>
      </x:c>
      <x:c r="F84" s="14" t="str">
        <x:v>Controla quem pode fazer o quê dentro da fábrica.</x:v>
      </x:c>
      <x:c r="G84" s="14" t="str">
        <x:v>Aplica RBAC/capabilities, least privilege, break-glass, approval scopes e acesso a tools/repos/environments.</x:v>
      </x:c>
      <x:c r="H84" s="14" t="str">
        <x:v>Agent Registry, RBAC, Tool Gateway, Secrets Manager.</x:v>
      </x:c>
      <x:c r="I84" s="14" t="str">
        <x:v>Autorizar/negar capability e revogar acesso.</x:v>
      </x:c>
      <x:c r="J84" s="14" t="str">
        <x:v>Toda execução de agente/tool sensível.</x:v>
      </x:c>
      <x:c r="K84" s="14" t="str">
        <x:v>Role policy e task context.</x:v>
      </x:c>
      <x:c r="L84" s="14" t="str">
        <x:v>Access decision/audit.</x:v>
      </x:c>
      <x:c r="M84" s="14" t="str">
        <x:v>Não concede acesso além do necessário.</x:v>
      </x:c>
      <x:c r="N84" s="14" t="str">
        <x:v>Tool Gateway/Agent runtime.</x:v>
      </x:c>
      <x:c r="O84" s="14" t="str">
        <x:v>Permanente</x:v>
      </x:c>
      <x:c r="P84" s="14" t="str">
        <x:v>Determinístico</x:v>
      </x:c>
      <x:c r="Q84" s="14" t="str">
        <x:v>Crítica</x:v>
      </x:c>
      <x:c r="R84" s="14" t="str">
        <x:v>01a0e473-f653-7e06-8fa5-10c77bec7519</x:v>
      </x:c>
      <x:c r="S84" s="14" t="str">
        <x:v>F18 MCP + LSP Runtime | F19 Repo Intelligence / Tree-sitter | F23 Secret &amp; Credential Broker</x:v>
      </x:c>
      <x:c r="T84" s="14" t="str">
        <x:v>access.zerotrust.enforce</x:v>
      </x:c>
      <x:c r="U84" s="14" t="str">
        <x:v>Somente metadados de segredo; valores nunca em prompt/log; Estado operacional persistente em PostgreSQL</x:v>
      </x:c>
      <x:c r="V84" s="14" t="str">
        <x:v>agent.seraph.started / .completed / .failed + evidence.ledger.recorded</x:v>
      </x:c>
      <x:c r="W84" s="14" t="str">
        <x:v>Least privilege; write sensível, gasto, publicação, privilégio ou ação destrutiva exigem gate explícito. Credenciais via broker/leases; nunca em prompt.</x:v>
      </x:c>
      <x:c r="X84" s="14" t="str">
        <x:v>Architect (MIT) — AST/Tree-sitter/Repo Intelligence | Hermes — patterns; validar licença por versão | OpenClaw — gateway/nodes/channels; validar licença por versão</x:v>
      </x:c>
    </x:row>
    <x:row r="85" ht="62" customHeight="1">
      <x:c r="A85" s="14" t="n">
        <x:v>84</x:v>
      </x:c>
      <x:c r="B85" s="14" t="str">
        <x:v>Operações &amp; Infraestrutura</x:v>
      </x:c>
      <x:c r="C85" s="14" t="str">
        <x:v>Incidentes</x:v>
      </x:c>
      <x:c r="D85" s="14" t="str">
        <x:v>Niobe</x:v>
      </x:c>
      <x:c r="E85" s="14" t="str">
        <x:v>Incident Commander</x:v>
      </x:c>
      <x:c r="F85" s="14" t="str">
        <x:v>Coordena resposta a incidentes sem confundir contenção com correção.</x:v>
      </x:c>
      <x:c r="G85" s="14" t="str">
        <x:v>Abre incidente, define severidade, coordena Brown/SRE/Backup/Restore, mantém timeline e decide comunicação/recuperação.</x:v>
      </x:c>
      <x:c r="H85" s="14" t="str">
        <x:v>Incident board, observability, runbooks, status.</x:v>
      </x:c>
      <x:c r="I85" s="14" t="str">
        <x:v>Conter, coordenar, escalar, declarar recovery.</x:v>
      </x:c>
      <x:c r="J85" s="14" t="str">
        <x:v>Falha operacional relevante.</x:v>
      </x:c>
      <x:c r="K85" s="14" t="str">
        <x:v>Alerts e impact report.</x:v>
      </x:c>
      <x:c r="L85" s="14" t="str">
        <x:v>Incident timeline/postmortem.</x:v>
      </x:c>
      <x:c r="M85" s="14" t="str">
        <x:v>Não altera código por impulso durante incidente salvo procedimento de emergência.</x:v>
      </x:c>
      <x:c r="N85" s="14" t="str">
        <x:v>Brown/SRE/Restore/Postmortem.</x:v>
      </x:c>
      <x:c r="O85" s="14" t="str">
        <x:v>Sob demanda</x:v>
      </x:c>
      <x:c r="P85" s="14" t="str">
        <x:v>Claude/Ollama</x:v>
      </x:c>
      <x:c r="Q85" s="14" t="str">
        <x:v>Crítica</x:v>
      </x:c>
      <x:c r="R85" s="14" t="str">
        <x:v>01a0e473-f654-7cd0-bdaa-d9b448fe310e</x:v>
      </x:c>
      <x:c r="S85" s="14" t="str">
        <x:v>F16 Scheduler + Background Jobs | F17 Checkpoint + Rollback | F22 Device Nodes</x:v>
      </x:c>
      <x:c r="T85" s="14" t="str">
        <x:v>incident.command</x:v>
      </x:c>
      <x:c r="U85" s="14" t="str">
        <x:v>Job UUIDv7 + lease/heartbeat/resume em PostgreSQL; Checkpoint manifest + hashes + rollback evidence; Node/session state efêmero e pareado</x:v>
      </x:c>
      <x:c r="V85" s="14" t="str">
        <x:v>agent.niobe.started / .completed / .failed + evidence.ledger.recorded</x:v>
      </x:c>
      <x:c r="W85" s="14" t="str">
        <x:v>Least privilege; write sensível, gasto, publicação, privilégio ou ação destrutiva exigem gate explícito. Device input/screen exige autorização de sessão e logging.</x:v>
      </x:c>
      <x:c r="X85" s="14" t="str">
        <x:v>oh-my-claudecode (MIT) — multiagentes/jobs/skills/router | Hermes — patterns; validar licença por versão | OpenClaw — gateway/nodes/channels; validar licença por versão</x:v>
      </x:c>
    </x:row>
    <x:row r="86" ht="62" customHeight="1">
      <x:c r="A86" s="14" t="n">
        <x:v>85</x:v>
      </x:c>
      <x:c r="B86" s="14" t="str">
        <x:v>Operações &amp; Infraestrutura</x:v>
      </x:c>
      <x:c r="C86" s="14" t="str">
        <x:v>Tooling</x:v>
      </x:c>
      <x:c r="D86" s="14" t="str">
        <x:v>Link</x:v>
      </x:c>
      <x:c r="E86" s="14" t="str">
        <x:v>Agente de conectividade de ferramentas</x:v>
      </x:c>
      <x:c r="F86" s="14" t="str">
        <x:v>Opera a ponte entre agentes e ferramentas aprovadas.</x:v>
      </x:c>
      <x:c r="G86" s="14" t="str">
        <x:v>Resolve tool capabilities, sessions, MCP/CLI adapters, health, routing e transformação de requests/responses.</x:v>
      </x:c>
      <x:c r="H86" s="14" t="str">
        <x:v>Phoenix Tool Gateway, MCP, CLIs, provider adapters.</x:v>
      </x:c>
      <x:c r="I86" s="14" t="str">
        <x:v>Conectar/desconectar tool, validar health e rotear chamada.</x:v>
      </x:c>
      <x:c r="J86" s="14" t="str">
        <x:v>Agent precisa de capability externa.</x:v>
      </x:c>
      <x:c r="K86" s="14" t="str">
        <x:v>Tool request autorizado.</x:v>
      </x:c>
      <x:c r="L86" s="14" t="str">
        <x:v>Tool execution result/audit.</x:v>
      </x:c>
      <x:c r="M86" s="14" t="str">
        <x:v>Não bypassa Seraph/Secrets/Tool policy.</x:v>
      </x:c>
      <x:c r="N86" s="14" t="str">
        <x:v>Agent/Tool audit.</x:v>
      </x:c>
      <x:c r="O86" s="14" t="str">
        <x:v>Permanente</x:v>
      </x:c>
      <x:c r="P86" s="14" t="str">
        <x:v>Determinístico/Ollama</x:v>
      </x:c>
      <x:c r="Q86" s="14" t="str">
        <x:v>Alta</x:v>
      </x:c>
      <x:c r="R86" s="14" t="str">
        <x:v>01a0e473-f655-79ba-b433-fd32d0718d28</x:v>
      </x:c>
      <x:c r="S86" s="14" t="str">
        <x:v>F18 MCP + LSP Runtime | F22 Device Nodes</x:v>
      </x:c>
      <x:c r="T86" s="14" t="str">
        <x:v>tool.connectivity.route</x:v>
      </x:c>
      <x:c r="U86" s="14" t="str">
        <x:v>Node/session state efêmero e pareado; Estado operacional persistente em PostgreSQL</x:v>
      </x:c>
      <x:c r="V86" s="14" t="str">
        <x:v>agent.link.started / .completed / .failed + evidence.ledger.recorded</x:v>
      </x:c>
      <x:c r="W86" s="14" t="str">
        <x:v>Least privilege; writes policy-gated; evidência obrigatória; sem autoaprovação. Device input/screen exige autorização de sessão e logging.</x:v>
      </x:c>
      <x:c r="X86" s="14" t="str">
        <x:v>OpenClaw — gateway/nodes/channels; validar licença por versão | ZeroClaw — benchmark Rust/providers/tools | Claw Code Rust — referência técnica/clean-room</x:v>
      </x:c>
    </x:row>
    <x:row r="87" ht="62" customHeight="1">
      <x:c r="A87" s="14" t="n">
        <x:v>86</x:v>
      </x:c>
      <x:c r="B87" s="14" t="str">
        <x:v>Operações &amp; Infraestrutura</x:v>
      </x:c>
      <x:c r="C87" s="14" t="str">
        <x:v>Build</x:v>
      </x:c>
      <x:c r="D87" s="14" t="str">
        <x:v>Tank</x:v>
      </x:c>
      <x:c r="E87" s="14" t="str">
        <x:v>Agente operador de build</x:v>
      </x:c>
      <x:c r="F87" s="14" t="str">
        <x:v>Transforma código aprovado em artifacts nativos/WASM reproduzíveis.</x:v>
      </x:c>
      <x:c r="G87" s="14" t="str">
        <x:v>Executa Cargo/rustc, linking, cross compile, build profiles, cache e artifact metadata.</x:v>
      </x:c>
      <x:c r="H87" s="14" t="str">
        <x:v>Cargo, rustc, wasm-tools, linkers, cache, CI runners.</x:v>
      </x:c>
      <x:c r="I87" s="14" t="str">
        <x:v>Buildar, assinar/hashear e registrar artifact.</x:v>
      </x:c>
      <x:c r="J87" s="14" t="str">
        <x:v>Build solicitado por CI/release.</x:v>
      </x:c>
      <x:c r="K87" s="14" t="str">
        <x:v>Source + toolchain manifest.</x:v>
      </x:c>
      <x:c r="L87" s="14" t="str">
        <x:v>Build artifact + logs + hashes.</x:v>
      </x:c>
      <x:c r="M87" s="14" t="str">
        <x:v>Não promove release sozinho.</x:v>
      </x:c>
      <x:c r="N87" s="14" t="str">
        <x:v>Reproducible Build/Artifact Manager.</x:v>
      </x:c>
      <x:c r="O87" s="14" t="str">
        <x:v>Permanente</x:v>
      </x:c>
      <x:c r="P87" s="14" t="str">
        <x:v>Determinístico/Ollama</x:v>
      </x:c>
      <x:c r="Q87" s="14" t="str">
        <x:v>Alta</x:v>
      </x:c>
      <x:c r="R87" s="14" t="str">
        <x:v>01a0e473-f656-743b-926b-6f8ac00e7132</x:v>
      </x:c>
      <x:c r="S87" s="14" t="str">
        <x:v>F17 Checkpoint + Rollback | F18 MCP + LSP Runtime | F22 Device Nodes | F25 Knowledge / Evidence Graph</x:v>
      </x:c>
      <x:c r="T87" s="14" t="str">
        <x:v>build.execute</x:v>
      </x:c>
      <x:c r="U87" s="14" t="str">
        <x:v>Checkpoint manifest + hashes + rollback evidence; Node/session state efêmero e pareado; Knowledge/Evidence Graph com proveniência; Estado operacional persistente em PostgreSQL</x:v>
      </x:c>
      <x:c r="V87" s="14" t="str">
        <x:v>agent.tank.started / .completed / .failed + evidence.ledger.recorded</x:v>
      </x:c>
      <x:c r="W87" s="14" t="str">
        <x:v>Least privilege; writes policy-gated; evidência obrigatória; sem autoaprovação. Device input/screen exige autorização de sessão e logging.</x:v>
      </x:c>
      <x:c r="X87" s="14" t="str">
        <x:v>Hermes — patterns; validar licença por versão | OpenClaw — gateway/nodes/channels; validar licença por versão | ZeroClaw — benchmark Rust/providers/tools</x:v>
      </x:c>
    </x:row>
    <x:row r="88" ht="62" customHeight="1">
      <x:c r="A88" s="14" t="n">
        <x:v>87</x:v>
      </x:c>
      <x:c r="B88" s="14" t="str">
        <x:v>Operações &amp; Infraestrutura</x:v>
      </x:c>
      <x:c r="C88" s="14" t="str">
        <x:v>Infra</x:v>
      </x:c>
      <x:c r="D88" s="14" t="str">
        <x:v>Dozer</x:v>
      </x:c>
      <x:c r="E88" s="14" t="str">
        <x:v>Agente de infraestrutura pesada</x:v>
      </x:c>
      <x:c r="F88" s="14" t="str">
        <x:v>Mantém Proxmox, VMs, containers, storage, CPU/RAM, rede e nós de build.</x:v>
      </x:c>
      <x:c r="G88" s="14" t="str">
        <x:v>Provisiona infraestrutura, capacity, templates, storage pools, networks e hardware health.</x:v>
      </x:c>
      <x:c r="H88" s="14" t="str">
        <x:v>Proxmox API, SSH, monitoring, storage/network tools.</x:v>
      </x:c>
      <x:c r="I88" s="14" t="str">
        <x:v>Provisionar, ajustar quota/capacidade e reparar infraestrutura.</x:v>
      </x:c>
      <x:c r="J88" s="14" t="str">
        <x:v>Demanda de ambiente, capacity issue ou incident.</x:v>
      </x:c>
      <x:c r="K88" s="14" t="str">
        <x:v>Topology/capacity plan.</x:v>
      </x:c>
      <x:c r="L88" s="14" t="str">
        <x:v>Infrastructure state/change log.</x:v>
      </x:c>
      <x:c r="M88" s="14" t="str">
        <x:v>Mudanças destrutivas exigem backup/gate.</x:v>
      </x:c>
      <x:c r="N88" s="14" t="str">
        <x:v>SRE/Sandbox/Niobe.</x:v>
      </x:c>
      <x:c r="O88" s="14" t="str">
        <x:v>Permanente</x:v>
      </x:c>
      <x:c r="P88" s="14" t="str">
        <x:v>Ollama</x:v>
      </x:c>
      <x:c r="Q88" s="14" t="str">
        <x:v>Alta</x:v>
      </x:c>
      <x:c r="R88" s="14" t="str">
        <x:v>01a0e473-f657-70e6-aea4-487c8c041cc2</x:v>
      </x:c>
      <x:c r="S88" s="14" t="str">
        <x:v>F17 Checkpoint + Rollback | F22 Device Nodes</x:v>
      </x:c>
      <x:c r="T88" s="14" t="str">
        <x:v>infrastructure.provision</x:v>
      </x:c>
      <x:c r="U88" s="14" t="str">
        <x:v>Checkpoint manifest + hashes + rollback evidence; Node/session state efêmero e pareado; Estado operacional persistente em PostgreSQL</x:v>
      </x:c>
      <x:c r="V88" s="14" t="str">
        <x:v>agent.dozer.started / .completed / .failed + evidence.ledger.recorded</x:v>
      </x:c>
      <x:c r="W88" s="14" t="str">
        <x:v>Least privilege; writes policy-gated; evidência obrigatória; sem autoaprovação. Device input/screen exige autorização de sessão e logging.</x:v>
      </x:c>
      <x:c r="X88" s="14" t="str">
        <x:v>Hermes — patterns; validar licença por versão | OpenClaw — gateway/nodes/channels; validar licença por versão | ZeroClaw — benchmark Rust/providers/tools</x:v>
      </x:c>
    </x:row>
    <x:row r="89" ht="62" customHeight="1">
      <x:c r="A89" s="14" t="n">
        <x:v>88</x:v>
      </x:c>
      <x:c r="B89" s="14" t="str">
        <x:v>Pesquisa &amp; Inovação</x:v>
      </x:c>
      <x:c r="C89" s="14" t="str">
        <x:v>Experimentação</x:v>
      </x:c>
      <x:c r="D89" s="14" t="str">
        <x:v>Mouse</x:v>
      </x:c>
      <x:c r="E89" s="14" t="str">
        <x:v>Agente prototipador</x:v>
      </x:c>
      <x:c r="F89" s="14" t="str">
        <x:v>Constrói protótipos descartáveis para testar hipóteses rapidamente.</x:v>
      </x:c>
      <x:c r="G89" s="14" t="str">
        <x:v>Implementa spike mínimo em sandbox, mede resultado e descarta/arquiva sem contaminar produção.</x:v>
      </x:c>
      <x:c r="H89" s="14" t="str">
        <x:v>Sandbox, benchmark tools, minimal repo.</x:v>
      </x:c>
      <x:c r="I89" s="14" t="str">
        <x:v>Criar spike, executar experimento e coletar evidence.</x:v>
      </x:c>
      <x:c r="J89" s="14" t="str">
        <x:v>Hypothesis com experimento técnico.</x:v>
      </x:c>
      <x:c r="K89" s="14" t="str">
        <x:v>Hypothesis plan.</x:v>
      </x:c>
      <x:c r="L89" s="14" t="str">
        <x:v>Prototype Evidence.</x:v>
      </x:c>
      <x:c r="M89" s="14" t="str">
        <x:v>Sem merge/release e sem virar produção por atalho.</x:v>
      </x:c>
      <x:c r="N89" s="14" t="str">
        <x:v>Hypothesis/Oráculo.</x:v>
      </x:c>
      <x:c r="O89" s="14" t="str">
        <x:v>Sob demanda</x:v>
      </x:c>
      <x:c r="P89" s="14" t="str">
        <x:v>Ollama/Codex</x:v>
      </x:c>
      <x:c r="Q89" s="14" t="str">
        <x:v>Média</x:v>
      </x:c>
      <x:c r="R89" s="14" t="str">
        <x:v>01a0e473-f658-7333-bb3a-af3afe577499</x:v>
      </x:c>
      <x:c r="S89" s="14" t="str">
        <x:v>F15 Skill Runtime + Memory/Context Engine | F17 Checkpoint + Rollback | F18 MCP + LSP Runtime | F22 Device Nodes</x:v>
      </x:c>
      <x:c r="T89" s="14" t="str">
        <x:v>prototype.experiment</x:v>
      </x:c>
      <x:c r="U89" s="14" t="str">
        <x:v>Skills versionadas; promoção só após prova; Memory/Context sob escopo; Context Pack mínimo; Checkpoint manifest + hashes + rollback evidence; Node/session state efêmero e pareado</x:v>
      </x:c>
      <x:c r="V89" s="14" t="str">
        <x:v>agent.mouse.started / .completed / .failed + evidence.ledger.recorded</x:v>
      </x:c>
      <x:c r="W89" s="14" t="str">
        <x:v>Sandbox por padrão; capabilities escopadas; sem secrets diretos. Device input/screen exige autorização de sessão e logging.</x:v>
      </x:c>
      <x:c r="X89" s="14" t="str">
        <x:v>oh-my-claudecode (MIT) — multiagentes/jobs/skills/router | Hermes — patterns; validar licença por versão | OpenClaw — gateway/nodes/channels; validar licença por versão</x:v>
      </x:c>
    </x:row>
    <x:row r="90" ht="62" customHeight="1">
      <x:c r="A90" s="14" t="n">
        <x:v>89</x:v>
      </x:c>
      <x:c r="B90" s="14" t="str">
        <x:v>Creative Studio &amp; UX</x:v>
      </x:c>
      <x:c r="C90" s="14" t="str">
        <x:v>Criatividade</x:v>
      </x:c>
      <x:c r="D90" s="14" t="str">
        <x:v>Sati</x:v>
      </x:c>
      <x:c r="E90" s="14" t="str">
        <x:v>Agente de criatividade generativa</x:v>
      </x:c>
      <x:c r="F90" s="14" t="str">
        <x:v>Cria alternativas visuais, UX, temas, animações e soluções não óbvias.</x:v>
      </x:c>
      <x:c r="G90" s="14" t="str">
        <x:v>Explora múltiplos conceitos, mood/atmosphere, demos e interações em sandbox/preview.</x:v>
      </x:c>
      <x:c r="H90" s="14" t="str">
        <x:v>Designer sandbox, image/prototype tools, PHX UI concepts.</x:v>
      </x:c>
      <x:c r="I90" s="14" t="str">
        <x:v>Gerar alternativas e protótipos criativos.</x:v>
      </x:c>
      <x:c r="J90" s="14" t="str">
        <x:v>Problema de UX/visual aberto.</x:v>
      </x:c>
      <x:c r="K90" s="14" t="str">
        <x:v>Brief e constraints.</x:v>
      </x:c>
      <x:c r="L90" s="14" t="str">
        <x:v>Creative proposal/prototype.</x:v>
      </x:c>
      <x:c r="M90" s="14" t="str">
        <x:v>Não publica nem substitui Accessibility/QA.</x:v>
      </x:c>
      <x:c r="N90" s="14" t="str">
        <x:v>Creative Studio review.</x:v>
      </x:c>
      <x:c r="O90" s="14" t="str">
        <x:v>Sob demanda</x:v>
      </x:c>
      <x:c r="P90" s="14" t="str">
        <x:v>Modelo multimodal forte/Ollama</x:v>
      </x:c>
      <x:c r="Q90" s="14" t="str">
        <x:v>Média</x:v>
      </x:c>
      <x:c r="R90" s="14" t="str">
        <x:v>01a0e473-f659-7406-bb57-477469a028fe</x:v>
      </x:c>
      <x:c r="S90" s="14" t="str">
        <x:v>F15 Skill Runtime + Memory/Context Engine | F17 Checkpoint + Rollback | F22 Device Nodes | F24 Auto-learning + Skill Evolution</x:v>
      </x:c>
      <x:c r="T90" s="14" t="str">
        <x:v>creative.generate</x:v>
      </x:c>
      <x:c r="U90" s="14" t="str">
        <x:v>Skills versionadas; promoção só após prova; Memory/Context sob escopo; Context Pack mínimo; Checkpoint manifest + hashes + rollback evidence; Node/session state efêmero e pareado</x:v>
      </x:c>
      <x:c r="V90" s="14" t="str">
        <x:v>agent.sati.started / .completed / .failed + evidence.ledger.recorded</x:v>
      </x:c>
      <x:c r="W90" s="14" t="str">
        <x:v>Sandbox por padrão; capabilities escopadas; sem secrets diretos. Device input/screen exige autorização de sessão e logging.</x:v>
      </x:c>
      <x:c r="X90" s="14" t="str">
        <x:v>oh-my-claudecode (MIT) — multiagentes/jobs/skills/router | Hermes — patterns; validar licença por versão | OpenClaw — gateway/nodes/channels; validar licença por versão</x:v>
      </x:c>
    </x:row>
    <x:row r="91" ht="62" customHeight="1">
      <x:c r="A91" s="14" t="n">
        <x:v>90</x:v>
      </x:c>
      <x:c r="B91" s="14" t="str">
        <x:v>Pesquisa &amp; Inovação</x:v>
      </x:c>
      <x:c r="C91" s="14" t="str">
        <x:v>Exploração</x:v>
      </x:c>
      <x:c r="D91" s="14" t="str">
        <x:v>Spoon Boy</x:v>
      </x:c>
      <x:c r="E91" s="14" t="str">
        <x:v>Agente de quebra de pressupostos</x:v>
      </x:c>
      <x:c r="F91" s="14" t="str">
        <x:v>Questiona limitações assumidas e procura simplificações radicais.</x:v>
      </x:c>
      <x:c r="G91" s="14" t="str">
        <x:v>Reformula problema, identifica premissas não provadas e cria hipótese alternativa para eliminar complexidade.</x:v>
      </x:c>
      <x:c r="H91" s="14" t="str">
        <x:v>Requirements, architecture, benchmarks, research.</x:v>
      </x:c>
      <x:c r="I91" s="14" t="str">
        <x:v>Desafiar premissas e propor experimento.</x:v>
      </x:c>
      <x:c r="J91" s="14" t="str">
        <x:v>Problema aparentemente bloqueado ou caro.</x:v>
      </x:c>
      <x:c r="K91" s="14" t="str">
        <x:v>Current assumptions.</x:v>
      </x:c>
      <x:c r="L91" s="14" t="str">
        <x:v>Alternative Hypothesis.</x:v>
      </x:c>
      <x:c r="M91" s="14" t="str">
        <x:v>Toda proposta precisa de prova/benchmark.</x:v>
      </x:c>
      <x:c r="N91" s="14" t="str">
        <x:v>Hypothesis/Oráculo.</x:v>
      </x:c>
      <x:c r="O91" s="14" t="str">
        <x:v>Sob demanda</x:v>
      </x:c>
      <x:c r="P91" s="14" t="str">
        <x:v>Claude/Ollama</x:v>
      </x:c>
      <x:c r="Q91" s="14" t="str">
        <x:v>Média</x:v>
      </x:c>
      <x:c r="R91" s="14" t="str">
        <x:v>01a0e473-f65a-7b3e-8cd5-841d03fd2ed6</x:v>
      </x:c>
      <x:c r="S91" s="14" t="str">
        <x:v>F15 Skill Runtime + Memory/Context Engine | F22 Device Nodes | F24 Auto-learning + Skill Evolution</x:v>
      </x:c>
      <x:c r="T91" s="14" t="str">
        <x:v>assumption.challenge</x:v>
      </x:c>
      <x:c r="U91" s="14" t="str">
        <x:v>Skills versionadas; promoção só após prova; Memory/Context sob escopo; Context Pack mínimo; Node/session state efêmero e pareado; Candidate Skill → Hypothesis → OPA/QA → Registry</x:v>
      </x:c>
      <x:c r="V91" s="14" t="str">
        <x:v>agent.spoon.boy.started / .completed / .failed + evidence.ledger.recorded</x:v>
      </x:c>
      <x:c r="W91" s="14" t="str">
        <x:v>Sandbox por padrão; capabilities escopadas; sem secrets diretos. Device input/screen exige autorização de sessão e logging.</x:v>
      </x:c>
      <x:c r="X91" s="14" t="str">
        <x:v>oh-my-claudecode (MIT) — multiagentes/jobs/skills/router | Hermes — patterns; validar licença por versão | OpenClaw — gateway/nodes/channels; validar licença por versão</x:v>
      </x:c>
    </x:row>
    <x:row r="92" ht="62" customHeight="1">
      <x:c r="A92" s="14" t="n">
        <x:v>91</x:v>
      </x:c>
      <x:c r="B92" s="14" t="str">
        <x:v>Pesquisa &amp; Inovação</x:v>
      </x:c>
      <x:c r="C92" s="14" t="str">
        <x:v>Exploração</x:v>
      </x:c>
      <x:c r="D92" s="14" t="str">
        <x:v>Potentials / Aprendizes do Oráculo</x:v>
      </x:c>
      <x:c r="E92" s="14" t="str">
        <x:v>Grupo de subagentes experimentais</x:v>
      </x:c>
      <x:c r="F92" s="14" t="str">
        <x:v>Exploram ideias, edge cases e abordagens alternativas sob supervisão.</x:v>
      </x:c>
      <x:c r="G92" s="14" t="str">
        <x:v>Vários agentes júnior recebem o mesmo problema, geram protótipos/fuzzing criativo e relatam descobertas.</x:v>
      </x:c>
      <x:c r="H92" s="14" t="str">
        <x:v>Ollama local, sandboxes, limited tools.</x:v>
      </x:c>
      <x:c r="I92" s="14" t="str">
        <x:v>Pesquisar/prototipar/experimentar sem permissão de merge.</x:v>
      </x:c>
      <x:c r="J92" s="14" t="str">
        <x:v>Problema exploratório ou hipótese ampla.</x:v>
      </x:c>
      <x:c r="K92" s="14" t="str">
        <x:v>Brief do Oráculo/Hypothesis.</x:v>
      </x:c>
      <x:c r="L92" s="14" t="str">
        <x:v>Experimental findings.</x:v>
      </x:c>
      <x:c r="M92" s="14" t="str">
        <x:v>Sem merge, release, secrets ou mudança de ADR.</x:v>
      </x:c>
      <x:c r="N92" s="14" t="str">
        <x:v>Oráculo/Research/Hypothesis.</x:v>
      </x:c>
      <x:c r="O92" s="14" t="str">
        <x:v>Sob demanda</x:v>
      </x:c>
      <x:c r="P92" s="14" t="str">
        <x:v>Ollama</x:v>
      </x:c>
      <x:c r="Q92" s="14" t="str">
        <x:v>Baixa</x:v>
      </x:c>
      <x:c r="R92" s="14" t="str">
        <x:v>01a0e473-f65b-7843-bd00-6ec15746660c</x:v>
      </x:c>
      <x:c r="S92" s="14" t="str">
        <x:v>F15 Skill Runtime + Memory/Context Engine | F22 Device Nodes | F24 Auto-learning + Skill Evolution | F25 Knowledge / Evidence Graph</x:v>
      </x:c>
      <x:c r="T92" s="14" t="str">
        <x:v>decision.evidence.resolve</x:v>
      </x:c>
      <x:c r="U92" s="14" t="str">
        <x:v>Skills versionadas; promoção só após prova; Memory/Context sob escopo; Context Pack mínimo; Node/session state efêmero e pareado; Candidate Skill → Hypothesis → OPA/QA → Registry</x:v>
      </x:c>
      <x:c r="V92" s="14" t="str">
        <x:v>agent.potentials.aprendizes.do.oraculo.started / .completed / .failed + evidence.ledger.recorded</x:v>
      </x:c>
      <x:c r="W92" s="14" t="str">
        <x:v>Sandbox restrito; sem merge/release/secrets; somente escopo experimental. Device input/screen exige autorização de sessão e logging.</x:v>
      </x:c>
      <x:c r="X92" s="14" t="str">
        <x:v>oh-my-claudecode (MIT) — multiagentes/jobs/skills/router | Hermes — patterns; validar licença por versão | OpenClaw — gateway/nodes/channels; validar licença por versão</x:v>
      </x:c>
    </x:row>
    <x:row r="93" ht="62" customHeight="1">
      <x:c r="A93" s="14" t="n">
        <x:v>92</x:v>
      </x:c>
      <x:c r="B93" s="14" t="str">
        <x:v>Creative Studio &amp; UX</x:v>
      </x:c>
      <x:c r="C93" s="14" t="str">
        <x:v>Creative Studio</x:v>
      </x:c>
      <x:c r="D93" s="14" t="str">
        <x:v>Leonardo da Vinci</x:v>
      </x:c>
      <x:c r="E93" s="14" t="str">
        <x:v>Diretor de Design Sistêmico</x:v>
      </x:c>
      <x:c r="F93" s="14" t="str">
        <x:v>Conecta experiência, produto e engenharia antes da execução visual.</x:v>
      </x:c>
      <x:c r="G93" s="14" t="str">
        <x:v>Cria arquitetura de informação, fluxos, wireframes, conceitos, protótipos, analogias e visão multidisciplinar.</x:v>
      </x:c>
      <x:c r="H93" s="14" t="str">
        <x:v>UX research, requirements, Designer, component inventory.</x:v>
      </x:c>
      <x:c r="I93" s="14" t="str">
        <x:v>Definir conceito/fluxo e opções de design.</x:v>
      </x:c>
      <x:c r="J93" s="14" t="str">
        <x:v>Nova tela/produto/jornada complexa.</x:v>
      </x:c>
      <x:c r="K93" s="14" t="str">
        <x:v>User goals e constraints.</x:v>
      </x:c>
      <x:c r="L93" s="14" t="str">
        <x:v>Design concept + flow/wireframe.</x:v>
      </x:c>
      <x:c r="M93" s="14" t="str">
        <x:v>Não entrega visual final nem substitui Arquiteto técnico.</x:v>
      </x:c>
      <x:c r="N93" s="14" t="str">
        <x:v>Raphaël/Van Gogh.</x:v>
      </x:c>
      <x:c r="O93" s="14" t="str">
        <x:v>Sob demanda</x:v>
      </x:c>
      <x:c r="P93" s="14" t="str">
        <x:v>Claude/multimodal</x:v>
      </x:c>
      <x:c r="Q93" s="14" t="str">
        <x:v>Alta</x:v>
      </x:c>
      <x:c r="R93" s="14" t="str">
        <x:v>01a0e473-f65c-7e23-b1d6-7c75dec91318</x:v>
      </x:c>
      <x:c r="S93" s="14" t="str">
        <x:v>F15 Skill Runtime + Memory/Context Engine | F19 Repo Intelligence / Tree-sitter | F22 Device Nodes</x:v>
      </x:c>
      <x:c r="T93" s="14" t="str">
        <x:v>design.systemic.concept</x:v>
      </x:c>
      <x:c r="U93" s="14" t="str">
        <x:v>Skills versionadas; promoção só após prova; Memory/Context sob escopo; Context Pack mínimo; Node/session state efêmero e pareado</x:v>
      </x:c>
      <x:c r="V93" s="14" t="str">
        <x:v>agent.leonardo.da.vinci.started / .completed / .failed + evidence.ledger.recorded</x:v>
      </x:c>
      <x:c r="W93" s="14" t="str">
        <x:v>Least privilege; writes policy-gated; evidência obrigatória; sem autoaprovação. Device input/screen exige autorização de sessão e logging.</x:v>
      </x:c>
      <x:c r="X93" s="14" t="str">
        <x:v>Architect (MIT) — AST/Tree-sitter/Repo Intelligence | oh-my-claudecode (MIT) — multiagentes/jobs/skills/router | Hermes — patterns; validar licença por versão</x:v>
      </x:c>
    </x:row>
    <x:row r="94" ht="62" customHeight="1">
      <x:c r="A94" s="14" t="n">
        <x:v>93</x:v>
      </x:c>
      <x:c r="B94" s="14" t="str">
        <x:v>Creative Studio &amp; UX</x:v>
      </x:c>
      <x:c r="C94" s="14" t="str">
        <x:v>Creative Studio</x:v>
      </x:c>
      <x:c r="D94" s="14" t="str">
        <x:v>Michelângelo</x:v>
      </x:c>
      <x:c r="E94" s="14" t="str">
        <x:v>Mestre de Execução Visual</x:v>
      </x:c>
      <x:c r="F94" s="14" t="str">
        <x:v>Transforma conceito aprovado em interface de alto acabamento.</x:v>
      </x:c>
      <x:c r="G94" s="14" t="str">
        <x:v>Refina hierarquia, proporção, espaçamento, composição, microdetalhes e microinterações em alta fidelidade.</x:v>
      </x:c>
      <x:c r="H94" s="14" t="str">
        <x:v>Designer, tokens, prototypes, visual references.</x:v>
      </x:c>
      <x:c r="I94" s="14" t="str">
        <x:v>Produzir high-fidelity e polish.</x:v>
      </x:c>
      <x:c r="J94" s="14" t="str">
        <x:v>Conceito aprovado.</x:v>
      </x:c>
      <x:c r="K94" s="14" t="str">
        <x:v>Design concept e system constraints.</x:v>
      </x:c>
      <x:c r="L94" s="14" t="str">
        <x:v>High-fidelity UI specification.</x:v>
      </x:c>
      <x:c r="M94" s="14" t="str">
        <x:v>Não ignora design system/accessibility.</x:v>
      </x:c>
      <x:c r="N94" s="14" t="str">
        <x:v>Donatello/Beethoven/Mozart.</x:v>
      </x:c>
      <x:c r="O94" s="14" t="str">
        <x:v>Sob demanda</x:v>
      </x:c>
      <x:c r="P94" s="14" t="str">
        <x:v>Multimodal forte</x:v>
      </x:c>
      <x:c r="Q94" s="14" t="str">
        <x:v>Alta</x:v>
      </x:c>
      <x:c r="R94" s="14" t="str">
        <x:v>01a0e473-f65d-7a1d-b60f-8f2e353f1d84</x:v>
      </x:c>
      <x:c r="S94" s="14" t="str">
        <x:v>F22 Device Nodes</x:v>
      </x:c>
      <x:c r="T94" s="14" t="str">
        <x:v>design.visual.execute</x:v>
      </x:c>
      <x:c r="U94" s="14" t="str">
        <x:v>Node/session state efêmero e pareado</x:v>
      </x:c>
      <x:c r="V94" s="14" t="str">
        <x:v>agent.michelangelo.started / .completed / .failed + evidence.ledger.recorded</x:v>
      </x:c>
      <x:c r="W94" s="14" t="str">
        <x:v>Least privilege; writes policy-gated; evidência obrigatória; sem autoaprovação. Device input/screen exige autorização de sessão e logging.</x:v>
      </x:c>
      <x:c r="X94" s="14" t="str">
        <x:v>OpenClaw — gateway/nodes/channels; validar licença por versão | ZeroClaw — benchmark Rust/providers/tools</x:v>
      </x:c>
    </x:row>
    <x:row r="95" ht="62" customHeight="1">
      <x:c r="A95" s="14" t="n">
        <x:v>94</x:v>
      </x:c>
      <x:c r="B95" s="14" t="str">
        <x:v>Creative Studio &amp; UX</x:v>
      </x:c>
      <x:c r="C95" s="14" t="str">
        <x:v>Creative Studio</x:v>
      </x:c>
      <x:c r="D95" s="14" t="str">
        <x:v>Donatello</x:v>
      </x:c>
      <x:c r="E95" s="14" t="str">
        <x:v>Engenheiro Criativo de Componentes</x:v>
      </x:c>
      <x:c r="F95" s="14" t="str">
        <x:v>Transforma design em componentes reutilizáveis e tecnicamente executáveis.</x:v>
      </x:c>
      <x:c r="G95" s="14" t="str">
        <x:v>Define tokens, variants, states, templates, responsividade, slots e contratos com Phoenix UI.</x:v>
      </x:c>
      <x:c r="H95" s="14" t="str">
        <x:v>Phoenix Component Model, Design Tokens, Template Engine.</x:v>
      </x:c>
      <x:c r="I95" s="14" t="str">
        <x:v>Criar design system/component specs e mapear para implementação.</x:v>
      </x:c>
      <x:c r="J95" s="14" t="str">
        <x:v>Visual aprovado ou novo componente.</x:v>
      </x:c>
      <x:c r="K95" s="14" t="str">
        <x:v>High-fidelity e constraints técnicas.</x:v>
      </x:c>
      <x:c r="L95" s="14" t="str">
        <x:v>Component Design System.</x:v>
      </x:c>
      <x:c r="M95" s="14" t="str">
        <x:v>Não cria exceções locais sem justificar no sistema.</x:v>
      </x:c>
      <x:c r="N95" s="14" t="str">
        <x:v>UI/RAD Agent / QA visual.</x:v>
      </x:c>
      <x:c r="O95" s="14" t="str">
        <x:v>Sob demanda</x:v>
      </x:c>
      <x:c r="P95" s="14" t="str">
        <x:v>Codex/Claude</x:v>
      </x:c>
      <x:c r="Q95" s="14" t="str">
        <x:v>Alta</x:v>
      </x:c>
      <x:c r="R95" s="14" t="str">
        <x:v>01a0e473-f65e-795b-b4bb-311ae6485b36</x:v>
      </x:c>
      <x:c r="S95" s="14" t="str">
        <x:v>F22 Device Nodes</x:v>
      </x:c>
      <x:c r="T95" s="14" t="str">
        <x:v>design.component.engineer</x:v>
      </x:c>
      <x:c r="U95" s="14" t="str">
        <x:v>Node/session state efêmero e pareado</x:v>
      </x:c>
      <x:c r="V95" s="14" t="str">
        <x:v>agent.donatello.started / .completed / .failed + evidence.ledger.recorded</x:v>
      </x:c>
      <x:c r="W95" s="14" t="str">
        <x:v>Least privilege; writes policy-gated; evidência obrigatória; sem autoaprovação. Device input/screen exige autorização de sessão e logging.</x:v>
      </x:c>
      <x:c r="X95" s="14" t="str">
        <x:v>OpenClaw — gateway/nodes/channels; validar licença por versão | ZeroClaw — benchmark Rust/providers/tools</x:v>
      </x:c>
    </x:row>
    <x:row r="96" ht="62" customHeight="1">
      <x:c r="A96" s="14" t="n">
        <x:v>95</x:v>
      </x:c>
      <x:c r="B96" s="14" t="str">
        <x:v>Creative Studio &amp; UX</x:v>
      </x:c>
      <x:c r="C96" s="14" t="str">
        <x:v>Creative Studio</x:v>
      </x:c>
      <x:c r="D96" s="14" t="str">
        <x:v>Raphaël / Rafael</x:v>
      </x:c>
      <x:c r="E96" s="14" t="str">
        <x:v>Guardião da Harmonia</x:v>
      </x:c>
      <x:c r="F96" s="14" t="str">
        <x:v>Mantém equilíbrio visual, grid, tipografia e consistência entre telas.</x:v>
      </x:c>
      <x:c r="G96" s="14" t="str">
        <x:v>Audita alinhamento, ritmo espacial, hierarquia, legibilidade, consistência e clareza visual.</x:v>
      </x:c>
      <x:c r="H96" s="14" t="str">
        <x:v>Design tokens, grid tools, component inventory.</x:v>
      </x:c>
      <x:c r="I96" s="14" t="str">
        <x:v>Revisar e harmonizar design.</x:v>
      </x:c>
      <x:c r="J96" s="14" t="str">
        <x:v>Após conceito ou durante review.</x:v>
      </x:c>
      <x:c r="K96" s="14" t="str">
        <x:v>Wireframes/high-fidelity.</x:v>
      </x:c>
      <x:c r="L96" s="14" t="str">
        <x:v>Visual consistency review.</x:v>
      </x:c>
      <x:c r="M96" s="14" t="str">
        <x:v>Não substitui Accessibility; trabalha em conjunto.</x:v>
      </x:c>
      <x:c r="N96" s="14" t="str">
        <x:v>Splinter/Accessibility.</x:v>
      </x:c>
      <x:c r="O96" s="14" t="str">
        <x:v>Sob demanda</x:v>
      </x:c>
      <x:c r="P96" s="14" t="str">
        <x:v>Multimodal/Ollama</x:v>
      </x:c>
      <x:c r="Q96" s="14" t="str">
        <x:v>Média</x:v>
      </x:c>
      <x:c r="R96" s="14" t="str">
        <x:v>01a0e473-f65f-7219-b54a-2165f244699f</x:v>
      </x:c>
      <x:c r="S96" s="14" t="str">
        <x:v>F15 Skill Runtime + Memory/Context Engine | F22 Device Nodes</x:v>
      </x:c>
      <x:c r="T96" s="14" t="str">
        <x:v>design.harmony.guard</x:v>
      </x:c>
      <x:c r="U96" s="14" t="str">
        <x:v>Skills versionadas; promoção só após prova; Memory/Context sob escopo; Context Pack mínimo; Node/session state efêmero e pareado</x:v>
      </x:c>
      <x:c r="V96" s="14" t="str">
        <x:v>agent.rapha.l.rafael.started / .completed / .failed + evidence.ledger.recorded</x:v>
      </x:c>
      <x:c r="W96" s="14" t="str">
        <x:v>Sandbox por padrão; capabilities escopadas; sem secrets diretos. Device input/screen exige autorização de sessão e logging.</x:v>
      </x:c>
      <x:c r="X96" s="14" t="str">
        <x:v>oh-my-claudecode (MIT) — multiagentes/jobs/skills/router | Hermes — patterns; validar licença por versão | OpenClaw — gateway/nodes/channels; validar licença por versão</x:v>
      </x:c>
    </x:row>
    <x:row r="97" ht="62" customHeight="1">
      <x:c r="A97" s="14" t="n">
        <x:v>96</x:v>
      </x:c>
      <x:c r="B97" s="14" t="str">
        <x:v>Creative Studio &amp; UX</x:v>
      </x:c>
      <x:c r="C97" s="14" t="str">
        <x:v>Creative Studio</x:v>
      </x:c>
      <x:c r="D97" s="14" t="str">
        <x:v>Mestre Splinter</x:v>
      </x:c>
      <x:c r="E97" s="14" t="str">
        <x:v>Mentor e Diretor de Crítica</x:v>
      </x:c>
      <x:c r="F97" s="14" t="str">
        <x:v>Coordena o Creative Studio e faz o gate de maturidade criativa.</x:v>
      </x:c>
      <x:c r="G97" s="14" t="str">
        <x:v>Compara propostas, resolve conflitos estética×clareza×performance, protege visão do produto e exige justificativas.</x:v>
      </x:c>
      <x:c r="H97" s="14" t="str">
        <x:v>Todos os artifacts do Creative Studio, UX evidence.</x:v>
      </x:c>
      <x:c r="I97" s="14" t="str">
        <x:v>Aprovar para validação, pedir iteração ou rejeitar proposta.</x:v>
      </x:c>
      <x:c r="J97" s="14" t="str">
        <x:v>Antes de Accessibility/User Proof.</x:v>
      </x:c>
      <x:c r="K97" s="14" t="str">
        <x:v>Creative package.</x:v>
      </x:c>
      <x:c r="L97" s="14" t="str">
        <x:v>Creative Maturity Gate.</x:v>
      </x:c>
      <x:c r="M97" s="14" t="str">
        <x:v>Não substitui QA nem PO.</x:v>
      </x:c>
      <x:c r="N97" s="14" t="str">
        <x:v>Accessibility/User Proof.</x:v>
      </x:c>
      <x:c r="O97" s="14" t="str">
        <x:v>Sob demanda</x:v>
      </x:c>
      <x:c r="P97" s="14" t="str">
        <x:v>Claude/multimodal</x:v>
      </x:c>
      <x:c r="Q97" s="14" t="str">
        <x:v>Alta</x:v>
      </x:c>
      <x:c r="R97" s="14" t="str">
        <x:v>01a0e473-f660-7150-842e-9e93a93d7648</x:v>
      </x:c>
      <x:c r="S97" s="14" t="str">
        <x:v>F20 Team Runtime | F25 Knowledge / Evidence Graph</x:v>
      </x:c>
      <x:c r="T97" s="14" t="str">
        <x:v>design.creative.gate</x:v>
      </x:c>
      <x:c r="U97" s="14" t="str">
        <x:v>Knowledge/Evidence Graph com proveniência</x:v>
      </x:c>
      <x:c r="V97" s="14" t="str">
        <x:v>agent.mestre.splinter.started / .completed / .failed + evidence.ledger.recorded</x:v>
      </x:c>
      <x:c r="W97" s="14" t="str">
        <x:v>Least privilege; writes policy-gated; evidência obrigatória; sem autoaprovação.</x:v>
      </x:c>
      <x:c r="X97" s="14" t="str">
        <x:v>oh-my-claudecode (MIT) — multiagentes/jobs/skills/router | ZeroClaw — benchmark Rust/providers/tools</x:v>
      </x:c>
    </x:row>
    <x:row r="98" ht="62" customHeight="1">
      <x:c r="A98" s="14" t="n">
        <x:v>97</x:v>
      </x:c>
      <x:c r="B98" s="14" t="str">
        <x:v>Creative Studio &amp; UX</x:v>
      </x:c>
      <x:c r="C98" s="14" t="str">
        <x:v>Creative Studio</x:v>
      </x:c>
      <x:c r="D98" s="14" t="str">
        <x:v>Van Gogh</x:v>
      </x:c>
      <x:c r="E98" s="14" t="str">
        <x:v>Especialista em Cor, Emoção e Identidade</x:v>
      </x:c>
      <x:c r="F98" s="14" t="str">
        <x:v>Cria paletas, temas, atmosfera e identidade visual memorável.</x:v>
      </x:c>
      <x:c r="G98" s="14" t="str">
        <x:v>Define color tokens, themes, contrast intent, lighting/atmosphere e estados emocionais sem sacrificar legibilidade.</x:v>
      </x:c>
      <x:c r="H98" s="14" t="str">
        <x:v>Color systems, themes, prototypes, accessibility contrast tools.</x:v>
      </x:c>
      <x:c r="I98" s="14" t="str">
        <x:v>Criar theme variants e identidade.</x:v>
      </x:c>
      <x:c r="J98" s="14" t="str">
        <x:v>Nova identidade/theme ou revisão visual.</x:v>
      </x:c>
      <x:c r="K98" s="14" t="str">
        <x:v>Brand/product intent.</x:v>
      </x:c>
      <x:c r="L98" s="14" t="str">
        <x:v>Theme/identity system.</x:v>
      </x:c>
      <x:c r="M98" s="14" t="str">
        <x:v>Accessibility pode bloquear decisões de cor.</x:v>
      </x:c>
      <x:c r="N98" s="14" t="str">
        <x:v>Raphaël/Splinter/Accessibility.</x:v>
      </x:c>
      <x:c r="O98" s="14" t="str">
        <x:v>Sob demanda</x:v>
      </x:c>
      <x:c r="P98" s="14" t="str">
        <x:v>Multimodal</x:v>
      </x:c>
      <x:c r="Q98" s="14" t="str">
        <x:v>Média</x:v>
      </x:c>
      <x:c r="R98" s="14" t="str">
        <x:v>01a0e473-f661-77bb-ac3d-0d27237afbf6</x:v>
      </x:c>
      <x:c r="S98" s="14" t="str">
        <x:v>F15 Skill Runtime + Memory/Context Engine</x:v>
      </x:c>
      <x:c r="T98" s="14" t="str">
        <x:v>design.theme.color</x:v>
      </x:c>
      <x:c r="U98" s="14" t="str">
        <x:v>Skills versionadas; promoção só após prova; Memory/Context sob escopo; Context Pack mínimo</x:v>
      </x:c>
      <x:c r="V98" s="14" t="str">
        <x:v>agent.van.gogh.started / .completed / .failed + evidence.ledger.recorded</x:v>
      </x:c>
      <x:c r="W98" s="14" t="str">
        <x:v>Sandbox por padrão; capabilities escopadas; sem secrets diretos.</x:v>
      </x:c>
      <x:c r="X98" s="14" t="str">
        <x:v>oh-my-claudecode (MIT) — multiagentes/jobs/skills/router | Hermes — patterns; validar licença por versão</x:v>
      </x:c>
    </x:row>
    <x:row r="99" ht="62" customHeight="1">
      <x:c r="A99" s="14" t="n">
        <x:v>98</x:v>
      </x:c>
      <x:c r="B99" s="14" t="str">
        <x:v>Creative Studio &amp; UX</x:v>
      </x:c>
      <x:c r="C99" s="14" t="str">
        <x:v>Creative Studio</x:v>
      </x:c>
      <x:c r="D99" s="14" t="str">
        <x:v>Beethoven</x:v>
      </x:c>
      <x:c r="E99" s="14" t="str">
        <x:v>Especialista em Ritmo e Movimento</x:v>
      </x:c>
      <x:c r="F99" s="14" t="str">
        <x:v>Define motion design, timing e feedback multissensorial.</x:v>
      </x:c>
      <x:c r="G99" s="14" t="str">
        <x:v>Cria transições, cadência, easing, feedback sonoro/háptico, sincronização e guidelines de motion.</x:v>
      </x:c>
      <x:c r="H99" s="14" t="str">
        <x:v>Timeline, audio/haptic APIs, interaction specs.</x:v>
      </x:c>
      <x:c r="I99" s="14" t="str">
        <x:v>Projetar motion/audio UX e timings.</x:v>
      </x:c>
      <x:c r="J99" s="14" t="str">
        <x:v>Fluxo interativo que se beneficia de feedback.</x:v>
      </x:c>
      <x:c r="K99" s="14" t="str">
        <x:v>High-fidelity e user intent.</x:v>
      </x:c>
      <x:c r="L99" s="14" t="str">
        <x:v>Motion/audio specification.</x:v>
      </x:c>
      <x:c r="M99" s="14" t="str">
        <x:v>Respeita reduced-motion e acessibilidade.</x:v>
      </x:c>
      <x:c r="N99" s="14" t="str">
        <x:v>Mozart/Vivaldi/Splinter.</x:v>
      </x:c>
      <x:c r="O99" s="14" t="str">
        <x:v>Sob demanda</x:v>
      </x:c>
      <x:c r="P99" s="14" t="str">
        <x:v>Multimodal/Ollama</x:v>
      </x:c>
      <x:c r="Q99" s="14" t="str">
        <x:v>Média</x:v>
      </x:c>
      <x:c r="R99" s="14" t="str">
        <x:v>01a0e473-f662-7592-be0d-691556ec288f</x:v>
      </x:c>
      <x:c r="S99" s="14" t="str">
        <x:v>F15 Skill Runtime + Memory/Context Engine | F22 Device Nodes</x:v>
      </x:c>
      <x:c r="T99" s="14" t="str">
        <x:v>design.motion.audio</x:v>
      </x:c>
      <x:c r="U99" s="14" t="str">
        <x:v>Skills versionadas; promoção só após prova; Memory/Context sob escopo; Context Pack mínimo; Node/session state efêmero e pareado</x:v>
      </x:c>
      <x:c r="V99" s="14" t="str">
        <x:v>agent.beethoven.started / .completed / .failed + evidence.ledger.recorded</x:v>
      </x:c>
      <x:c r="W99" s="14" t="str">
        <x:v>Sandbox por padrão; capabilities escopadas; sem secrets diretos. Device input/screen exige autorização de sessão e logging.</x:v>
      </x:c>
      <x:c r="X99" s="14" t="str">
        <x:v>oh-my-claudecode (MIT) — multiagentes/jobs/skills/router | Hermes — patterns; validar licença por versão | OpenClaw — gateway/nodes/channels; validar licença por versão</x:v>
      </x:c>
    </x:row>
    <x:row r="100" ht="62" customHeight="1">
      <x:c r="A100" s="14" t="n">
        <x:v>99</x:v>
      </x:c>
      <x:c r="B100" s="14" t="str">
        <x:v>Creative Studio &amp; UX</x:v>
      </x:c>
      <x:c r="C100" s="14" t="str">
        <x:v>Creative Studio</x:v>
      </x:c>
      <x:c r="D100" s="14" t="str">
        <x:v>Mozart</x:v>
      </x:c>
      <x:c r="E100" s="14" t="str">
        <x:v>Especialista em Fluidez e Simplicidade</x:v>
      </x:c>
      <x:c r="F100" s="14" t="str">
        <x:v>Reduz carga cognitiva e torna jornadas rápidas, previsíveis e naturais.</x:v>
      </x:c>
      <x:c r="G100" s="14" t="str">
        <x:v>Remove passos desnecessários, simplifica menus, microinterações e feedback; otimiza clareza da sequência.</x:v>
      </x:c>
      <x:c r="H100" s="14" t="str">
        <x:v>User flows, telemetry, prototypes, UX heuristics.</x:v>
      </x:c>
      <x:c r="I100" s="14" t="str">
        <x:v>Simplificar jornada e comparar alternativas.</x:v>
      </x:c>
      <x:c r="J100" s="14" t="str">
        <x:v>Fluxo complexo ou fricção de uso.</x:v>
      </x:c>
      <x:c r="K100" s="14" t="str">
        <x:v>Journey metrics e design.</x:v>
      </x:c>
      <x:c r="L100" s="14" t="str">
        <x:v>Simplified journey specification.</x:v>
      </x:c>
      <x:c r="M100" s="14" t="str">
        <x:v>Não remove controle necessário por simplificação estética.</x:v>
      </x:c>
      <x:c r="N100" s="14" t="str">
        <x:v>User Proof/Splinter.</x:v>
      </x:c>
      <x:c r="O100" s="14" t="str">
        <x:v>Sob demanda</x:v>
      </x:c>
      <x:c r="P100" s="14" t="str">
        <x:v>Claude/Ollama</x:v>
      </x:c>
      <x:c r="Q100" s="14" t="str">
        <x:v>Média</x:v>
      </x:c>
      <x:c r="R100" s="14" t="str">
        <x:v>01a0e473-f663-7ba8-968d-2935c62698e3</x:v>
      </x:c>
      <x:c r="S100" s="14" t="str">
        <x:v>F20 Team Runtime | F25 Knowledge / Evidence Graph</x:v>
      </x:c>
      <x:c r="T100" s="14" t="str">
        <x:v>ux.simplify</x:v>
      </x:c>
      <x:c r="U100" s="14" t="str">
        <x:v>Knowledge/Evidence Graph com proveniência</x:v>
      </x:c>
      <x:c r="V100" s="14" t="str">
        <x:v>agent.mozart.started / .completed / .failed + evidence.ledger.recorded</x:v>
      </x:c>
      <x:c r="W100" s="14" t="str">
        <x:v>Sandbox por padrão; capabilities escopadas; sem secrets diretos.</x:v>
      </x:c>
      <x:c r="X100" s="14" t="str">
        <x:v>oh-my-claudecode (MIT) — multiagentes/jobs/skills/router | ZeroClaw — benchmark Rust/providers/tools</x:v>
      </x:c>
    </x:row>
    <x:row r="101" ht="62" customHeight="1">
      <x:c r="A101" s="14" t="n">
        <x:v>100</x:v>
      </x:c>
      <x:c r="B101" s="14" t="str">
        <x:v>Creative Studio &amp; UX</x:v>
      </x:c>
      <x:c r="C101" s="14" t="str">
        <x:v>Creative Studio</x:v>
      </x:c>
      <x:c r="D101" s="14" t="str">
        <x:v>Vivaldi</x:v>
      </x:c>
      <x:c r="E101" s="14" t="str">
        <x:v>Especialista em Variação Contextual</x:v>
      </x:c>
      <x:c r="F101" s="14" t="str">
        <x:v>Adapta experiência conforme contexto, estado, dispositivo, tema e etapa da jornada.</x:v>
      </x:c>
      <x:c r="G101" s="14" t="str">
        <x:v>Define variações sazonais/contextuais, claro/escuro, responsividade, intensidade visual por movimentos e transições entre estados.</x:v>
      </x:c>
      <x:c r="H101" s="14" t="str">
        <x:v>Theme engine, state/device/context data, prototypes.</x:v>
      </x:c>
      <x:c r="I101" s="14" t="str">
        <x:v>Criar contextual UX variants e regras de seleção.</x:v>
      </x:c>
      <x:c r="J101" s="14" t="str">
        <x:v>Experiência deve se adaptar a contexto.</x:v>
      </x:c>
      <x:c r="K101" s="14" t="str">
        <x:v>Design system e context signals.</x:v>
      </x:c>
      <x:c r="L101" s="14" t="str">
        <x:v>Contextual UX specification.</x:v>
      </x:c>
      <x:c r="M101" s="14" t="str">
        <x:v>Não introduz inconsistência ou distração; Accessibility/User Proof validam.</x:v>
      </x:c>
      <x:c r="N101" s="14" t="str">
        <x:v>Splinter/Accessibility/User Proof.</x:v>
      </x:c>
      <x:c r="O101" s="14" t="str">
        <x:v>Sob demanda</x:v>
      </x:c>
      <x:c r="P101" s="14" t="str">
        <x:v>Multimodal/Ollama</x:v>
      </x:c>
      <x:c r="Q101" s="14" t="str">
        <x:v>Média</x:v>
      </x:c>
      <x:c r="R101" s="14" t="str">
        <x:v>01a0e473-f664-7319-b7b9-7b5637d211ff</x:v>
      </x:c>
      <x:c r="S101" s="14" t="str">
        <x:v>F15 Skill Runtime + Memory/Context Engine</x:v>
      </x:c>
      <x:c r="T101" s="14" t="str">
        <x:v>ux.context.adapt</x:v>
      </x:c>
      <x:c r="U101" s="14" t="str">
        <x:v>Skills versionadas; promoção só após prova; Memory/Context sob escopo; Context Pack mínimo</x:v>
      </x:c>
      <x:c r="V101" s="14" t="str">
        <x:v>agent.vivaldi.started / .completed / .failed + evidence.ledger.recorded</x:v>
      </x:c>
      <x:c r="W101" s="14" t="str">
        <x:v>Sandbox por padrão; capabilities escopadas; sem secrets diretos.</x:v>
      </x:c>
      <x:c r="X101" s="14" t="str">
        <x:v>oh-my-claudecode (MIT) — multiagentes/jobs/skills/router | Hermes — patterns; validar licença por versão</x:v>
      </x:c>
    </x:row>
    <x:row r="102" ht="62" customHeight="1">
      <x:c r="A102" s="14" t="n">
        <x:v>101</x:v>
      </x:c>
      <x:c r="B102" s="14" t="str">
        <x:v>Produto &amp; Growth</x:v>
      </x:c>
      <x:c r="C102" s="14" t="str">
        <x:v>Produto/Marketing</x:v>
      </x:c>
      <x:c r="D102" s="14" t="str">
        <x:v>SOC Agent</x:v>
      </x:c>
      <x:c r="E102" s="14" t="str">
        <x:v>Agente social</x:v>
      </x:c>
      <x:c r="F102" s="14" t="str">
        <x:v>Integra publicação e leitura operacional de redes sociais quando o produto exigir.</x:v>
      </x:c>
      <x:c r="G102" s="14" t="str">
        <x:v>Normaliza formatos, schedules, uploads, metadata, status e métricas através de connectors isolados.</x:v>
      </x:c>
      <x:c r="H102" s="14" t="str">
        <x:v>Connector Platform, social APIs, media tools.</x:v>
      </x:c>
      <x:c r="I102" s="14" t="str">
        <x:v>Publicar/consultar via contratos aprovados e registrar resposta.</x:v>
      </x:c>
      <x:c r="J102" s="14" t="str">
        <x:v>Módulo social habilitado.</x:v>
      </x:c>
      <x:c r="K102" s="14" t="str">
        <x:v>Approved connector + content package.</x:v>
      </x:c>
      <x:c r="L102" s="14" t="str">
        <x:v>Social integration evidence.</x:v>
      </x:c>
      <x:c r="M102" s="14" t="str">
        <x:v>Não contorna políticas/plataformas; credenciais via Secrets Manager.</x:v>
      </x:c>
      <x:c r="N102" s="14" t="str">
        <x:v>Data Attribution/QA.</x:v>
      </x:c>
      <x:c r="O102" s="14" t="str">
        <x:v>Sob demanda</x:v>
      </x:c>
      <x:c r="P102" s="14" t="str">
        <x:v>Ollama/Codex</x:v>
      </x:c>
      <x:c r="Q102" s="14" t="str">
        <x:v>Média</x:v>
      </x:c>
      <x:c r="R102" s="14" t="str">
        <x:v>01a0e473-f665-76d0-b8c6-35d37d1a3a0f</x:v>
      </x:c>
      <x:c r="S102" s="14" t="str">
        <x:v>F18 MCP + LSP Runtime | F21 Channel Gateway | F25 Knowledge / Evidence Graph</x:v>
      </x:c>
      <x:c r="T102" s="14" t="str">
        <x:v>channel.social.operate</x:v>
      </x:c>
      <x:c r="U102" s="14" t="str">
        <x:v>Session/channel state sem credencial no contexto; Knowledge/Evidence Graph com proveniência</x:v>
      </x:c>
      <x:c r="V102" s="14" t="str">
        <x:v>agent.soc.agent.started / .completed / .failed + evidence.ledger.recorded</x:v>
      </x:c>
      <x:c r="W102" s="14" t="str">
        <x:v>Sandbox por padrão; capabilities escopadas; sem secrets diretos.</x:v>
      </x:c>
      <x:c r="X102" s="14" t="str">
        <x:v>OpenClaw — gateway/nodes/channels; validar licença por versão | ZeroClaw — benchmark Rust/providers/tools | Claw Code Rust — referência técnica/clean-room</x:v>
      </x:c>
    </x:row>
    <x:row r="103" ht="62" customHeight="1">
      <x:c r="A103" s="14" t="n">
        <x:v>102</x:v>
      </x:c>
      <x:c r="B103" s="14" t="str">
        <x:v>Produto &amp; Growth</x:v>
      </x:c>
      <x:c r="C103" s="14" t="str">
        <x:v>Produto/Marketing</x:v>
      </x:c>
      <x:c r="D103" s="14" t="str">
        <x:v>ADS Agent</x:v>
      </x:c>
      <x:c r="E103" s="14" t="str">
        <x:v>Agente de publicidade</x:v>
      </x:c>
      <x:c r="F103" s="14" t="str">
        <x:v>Integra campanhas e métricas de anúncios quando aplicável.</x:v>
      </x:c>
      <x:c r="G103" s="14" t="str">
        <x:v>Cria/consulta entidades por adapters, valida políticas, budgets, regions e reconcilia status/metrics.</x:v>
      </x:c>
      <x:c r="H103" s="14" t="str">
        <x:v>Ads APIs, Connector Platform, policy registry.</x:v>
      </x:c>
      <x:c r="I103" s="14" t="str">
        <x:v>Executar operações autorizadas de campanha e coletar métricas.</x:v>
      </x:c>
      <x:c r="J103" s="14" t="str">
        <x:v>Módulo Ads habilitado com autorização.</x:v>
      </x:c>
      <x:c r="K103" s="14" t="str">
        <x:v>Campaign contract e budget.</x:v>
      </x:c>
      <x:c r="L103" s="14" t="str">
        <x:v>Ads integration report.</x:v>
      </x:c>
      <x:c r="M103" s="14" t="str">
        <x:v>Não gasta/publica sem autorização explícita e limites.</x:v>
      </x:c>
      <x:c r="N103" s="14" t="str">
        <x:v>Data Attribution/FinOps/QA.</x:v>
      </x:c>
      <x:c r="O103" s="14" t="str">
        <x:v>Sob demanda</x:v>
      </x:c>
      <x:c r="P103" s="14" t="str">
        <x:v>Ollama/Codex</x:v>
      </x:c>
      <x:c r="Q103" s="14" t="str">
        <x:v>Alta</x:v>
      </x:c>
      <x:c r="R103" s="14" t="str">
        <x:v>01a0e473-f666-7f5c-a943-7dde48b0f5f0</x:v>
      </x:c>
      <x:c r="S103" s="14" t="str">
        <x:v>F15 Skill Runtime + Memory/Context Engine | F16 Scheduler + Background Jobs | F18 MCP + LSP Runtime | F20 Team Runtime | F21 Channel Gateway</x:v>
      </x:c>
      <x:c r="T103" s="14" t="str">
        <x:v>channel.ads.operate</x:v>
      </x:c>
      <x:c r="U103" s="14" t="str">
        <x:v>Skills versionadas; promoção só após prova; Memory/Context sob escopo; Context Pack mínimo; Job UUIDv7 + lease/heartbeat/resume em PostgreSQL; Session/channel state sem credencial no contexto</x:v>
      </x:c>
      <x:c r="V103" s="14" t="str">
        <x:v>agent.ads.agent.started / .completed / .failed + evidence.ledger.recorded</x:v>
      </x:c>
      <x:c r="W103" s="14" t="str">
        <x:v>Least privilege; writes policy-gated; evidência obrigatória; sem autoaprovação.</x:v>
      </x:c>
      <x:c r="X103" s="14" t="str">
        <x:v>oh-my-claudecode (MIT) — multiagentes/jobs/skills/router | Hermes — patterns; validar licença por versão | OpenClaw — gateway/nodes/channels; validar licença por versão</x:v>
      </x:c>
    </x:row>
    <x:row r="104" ht="62" customHeight="1">
      <x:c r="A104" s="14" t="n">
        <x:v>103</x:v>
      </x:c>
      <x:c r="B104" s="14" t="str">
        <x:v>Produto &amp; Growth</x:v>
      </x:c>
      <x:c r="C104" s="14" t="str">
        <x:v>Produto/Marketing</x:v>
      </x:c>
      <x:c r="D104" s="14" t="str">
        <x:v>Marketplace Agent</x:v>
      </x:c>
      <x:c r="E104" s="14" t="str">
        <x:v>Agente de marketplaces</x:v>
      </x:c>
      <x:c r="F104" s="14" t="str">
        <x:v>Integra catálogos, pedidos e operações de marketplaces de forma padronizada.</x:v>
      </x:c>
      <x:c r="G104" s="14" t="str">
        <x:v>Mapeia produtos, atributos, estoque, preços, pedidos, erros e rate limits via adapters.</x:v>
      </x:c>
      <x:c r="H104" s="14" t="str">
        <x:v>Marketplace APIs, Connector Platform, schemas.</x:v>
      </x:c>
      <x:c r="I104" s="14" t="str">
        <x:v>Sincronizar/consultar dados autorizados e reconciliar.</x:v>
      </x:c>
      <x:c r="J104" s="14" t="str">
        <x:v>Módulo commerce habilitado.</x:v>
      </x:c>
      <x:c r="K104" s="14" t="str">
        <x:v>Catalog/order contracts.</x:v>
      </x:c>
      <x:c r="L104" s="14" t="str">
        <x:v>Marketplace integration evidence.</x:v>
      </x:c>
      <x:c r="M104" s="14" t="str">
        <x:v>Não deixa schema vendor contaminar domínio Phoenix.</x:v>
      </x:c>
      <x:c r="N104" s="14" t="str">
        <x:v>Merovíngio/Data/QA.</x:v>
      </x:c>
      <x:c r="O104" s="14" t="str">
        <x:v>Sob demanda</x:v>
      </x:c>
      <x:c r="P104" s="14" t="str">
        <x:v>Codex/Ollama</x:v>
      </x:c>
      <x:c r="Q104" s="14" t="str">
        <x:v>Alta</x:v>
      </x:c>
      <x:c r="R104" s="14" t="str">
        <x:v>01a0e473-f667-7726-82af-c0b6713d8e17</x:v>
      </x:c>
      <x:c r="S104" s="14" t="str">
        <x:v>F15 Skill Runtime + Memory/Context Engine | F18 MCP + LSP Runtime | F21 Channel Gateway</x:v>
      </x:c>
      <x:c r="T104" s="14" t="str">
        <x:v>channel.marketplace.operate</x:v>
      </x:c>
      <x:c r="U104" s="14" t="str">
        <x:v>Skills versionadas; promoção só após prova; Memory/Context sob escopo; Context Pack mínimo; Session/channel state sem credencial no contexto</x:v>
      </x:c>
      <x:c r="V104" s="14" t="str">
        <x:v>agent.marketplace.agent.started / .completed / .failed + evidence.ledger.recorded</x:v>
      </x:c>
      <x:c r="W104" s="14" t="str">
        <x:v>Least privilege; writes policy-gated; evidência obrigatória; sem autoaprovação.</x:v>
      </x:c>
      <x:c r="X104" s="14" t="str">
        <x:v>oh-my-claudecode (MIT) — multiagentes/jobs/skills/router | Hermes — patterns; validar licença por versão | OpenClaw — gateway/nodes/channels; validar licença por versão</x:v>
      </x:c>
    </x:row>
    <x:row r="105" ht="62" customHeight="1">
      <x:c r="A105" s="14" t="n">
        <x:v>104</x:v>
      </x:c>
      <x:c r="B105" s="14" t="str">
        <x:v>Dados &amp; Integrações</x:v>
      </x:c>
      <x:c r="C105" s="14" t="str">
        <x:v>Dados</x:v>
      </x:c>
      <x:c r="D105" s="14" t="str">
        <x:v>Data Attribution Agent</x:v>
      </x:c>
      <x:c r="E105" s="14" t="str">
        <x:v>Agente de atribuição de dados</x:v>
      </x:c>
      <x:c r="F105" s="14" t="str">
        <x:v>Garante origem, deduplicação, definição e reconciliação de eventos e métricas.</x:v>
      </x:c>
      <x:c r="G105" s="14" t="str">
        <x:v>Define event dictionary, source-of-truth, currency/timezone normalization, dedupe keys e attribution rules.</x:v>
      </x:c>
      <x:c r="H105" s="14" t="str">
        <x:v>Event streams, metrics DB, schemas, connector metadata.</x:v>
      </x:c>
      <x:c r="I105" s="14" t="str">
        <x:v>Classificar/normalizar/reconciliar eventos e detectar duplicatas.</x:v>
      </x:c>
      <x:c r="J105" s="14" t="str">
        <x:v>Múltiplas fontes alimentam métrica.</x:v>
      </x:c>
      <x:c r="K105" s="14" t="str">
        <x:v>Data contracts.</x:v>
      </x:c>
      <x:c r="L105" s="14" t="str">
        <x:v>Metrics dictionary/attribution evidence.</x:v>
      </x:c>
      <x:c r="M105" s="14" t="str">
        <x:v>Não inventa causalidade sem regra definida.</x:v>
      </x:c>
      <x:c r="N105" s="14" t="str">
        <x:v>Data/FinOps/AI Evaluation.</x:v>
      </x:c>
      <x:c r="O105" s="14" t="str">
        <x:v>Sob demanda</x:v>
      </x:c>
      <x:c r="P105" s="14" t="str">
        <x:v>Ollama</x:v>
      </x:c>
      <x:c r="Q105" s="14" t="str">
        <x:v>Média</x:v>
      </x:c>
      <x:c r="R105" s="14" t="str">
        <x:v>01a0e473-f668-758e-ac0f-2b3767ad7d2d</x:v>
      </x:c>
      <x:c r="S105" s="14" t="str">
        <x:v>F16 Scheduler + Background Jobs | F18 MCP + LSP Runtime | F21 Channel Gateway | F25 Knowledge / Evidence Graph</x:v>
      </x:c>
      <x:c r="T105" s="14" t="str">
        <x:v>data.attribution.reconcile</x:v>
      </x:c>
      <x:c r="U105" s="14" t="str">
        <x:v>Job UUIDv7 + lease/heartbeat/resume em PostgreSQL; Session/channel state sem credencial no contexto; Knowledge/Evidence Graph com proveniência</x:v>
      </x:c>
      <x:c r="V105" s="14" t="str">
        <x:v>agent.data.attribution.agent.started / .completed / .failed + evidence.ledger.recorded</x:v>
      </x:c>
      <x:c r="W105" s="14" t="str">
        <x:v>Sandbox por padrão; capabilities escopadas; sem secrets diretos.</x:v>
      </x:c>
      <x:c r="X105" s="14" t="str">
        <x:v>oh-my-claudecode (MIT) — multiagentes/jobs/skills/router | Hermes — patterns; validar licença por versão | OpenClaw — gateway/nodes/channels; validar licença por versão</x:v>
      </x:c>
    </x:row>
    <x:row r="106" ht="62" customHeight="1">
      <x:c r="A106" s="14" t="n">
        <x:v>105</x:v>
      </x:c>
      <x:c r="B106" s="14" t="str">
        <x:v>IA &amp; Conhecimento</x:v>
      </x:c>
      <x:c r="C106" s="14" t="str">
        <x:v>IA</x:v>
      </x:c>
      <x:c r="D106" s="14" t="str">
        <x:v>AI Evaluation Agent</x:v>
      </x:c>
      <x:c r="E106" s="14" t="str">
        <x:v>Agente de avaliação de IA</x:v>
      </x:c>
      <x:c r="F106" s="14" t="str">
        <x:v>Avalia qualidade, custo e comportamento de outputs/modelos em tarefas do produto.</x:v>
      </x:c>
      <x:c r="G106" s="14" t="str">
        <x:v>Cria eval datasets, rubrics, pairwise/grounded checks, regression tests e mede custo/latência.</x:v>
      </x:c>
      <x:c r="H106" s="14" t="str">
        <x:v>Eval harness, datasets, Model Gateway, QA outcomes.</x:v>
      </x:c>
      <x:c r="I106" s="14" t="str">
        <x:v>Rodar evals e bloquear regressão significativa.</x:v>
      </x:c>
      <x:c r="J106" s="14" t="str">
        <x:v>Nova feature/modelo/prompt relevante.</x:v>
      </x:c>
      <x:c r="K106" s="14" t="str">
        <x:v>Reference set e metrics.</x:v>
      </x:c>
      <x:c r="L106" s="14" t="str">
        <x:v>AI Evaluation Scorecard.</x:v>
      </x:c>
      <x:c r="M106" s="14" t="str">
        <x:v>Não usa somente autoavaliação do mesmo modelo.</x:v>
      </x:c>
      <x:c r="N106" s="14" t="str">
        <x:v>Model Evaluator/QA.</x:v>
      </x:c>
      <x:c r="O106" s="14" t="str">
        <x:v>Permanente</x:v>
      </x:c>
      <x:c r="P106" s="14" t="str">
        <x:v>Híbrido</x:v>
      </x:c>
      <x:c r="Q106" s="14" t="str">
        <x:v>Alta</x:v>
      </x:c>
      <x:c r="R106" s="14" t="str">
        <x:v>01a0e473-f669-7a16-8a21-a9f42684083a</x:v>
      </x:c>
      <x:c r="S106" s="14" t="str">
        <x:v>F15 Skill Runtime + Memory/Context Engine | F24 Auto-learning + Skill Evolution | F25 Knowledge / Evidence Graph</x:v>
      </x:c>
      <x:c r="T106" s="14" t="str">
        <x:v>ai.eval.run</x:v>
      </x:c>
      <x:c r="U106" s="14" t="str">
        <x:v>Skills versionadas; promoção só após prova; Memory/Context sob escopo; Context Pack mínimo; Candidate Skill → Hypothesis → OPA/QA → Registry; Knowledge/Evidence Graph com proveniência</x:v>
      </x:c>
      <x:c r="V106" s="14" t="str">
        <x:v>agent.ai.evaluation.agent.started / .completed / .failed + evidence.ledger.recorded</x:v>
      </x:c>
      <x:c r="W106" s="14" t="str">
        <x:v>Least privilege; writes policy-gated; evidência obrigatória; sem autoaprovação.</x:v>
      </x:c>
      <x:c r="X106" s="14" t="str">
        <x:v>oh-my-claudecode (MIT) — multiagentes/jobs/skills/router | Hermes — patterns; validar licença por versão</x:v>
      </x:c>
    </x:row>
    <x:row r="107" ht="62" customHeight="1">
      <x:c r="A107" s="14" t="n">
        <x:v>106</x:v>
      </x:c>
      <x:c r="B107" s="14" t="str">
        <x:v>Engenharia &amp; Arquitetura</x:v>
      </x:c>
      <x:c r="C107" s="14" t="str">
        <x:v>UI legado</x:v>
      </x:c>
      <x:c r="D107" s="14" t="str">
        <x:v>React/TypeScript Specialist</x:v>
      </x:c>
      <x:c r="E107" s="14" t="str">
        <x:v>Agente especialista legado</x:v>
      </x:c>
      <x:c r="F107" s="14" t="str">
        <x:v>Mantém e migra código React/TypeScript existente quando Phoenix precisar interoperar.</x:v>
      </x:c>
      <x:c r="G107" s="14" t="str">
        <x:v>Corrige, encapsula e converte UI legada, cria adapters e planeja migração para Phoenix UI.</x:v>
      </x:c>
      <x:c r="H107" s="14" t="str">
        <x:v>Node/TS toolchain, React repos, migration tools.</x:v>
      </x:c>
      <x:c r="I107" s="14" t="str">
        <x:v>Manter/migrar sem expandir dependência estratégica.</x:v>
      </x:c>
      <x:c r="J107" s="14" t="str">
        <x:v>Integração com frontend legado.</x:v>
      </x:c>
      <x:c r="K107" s="14" t="str">
        <x:v>Legacy source + Phoenix contracts.</x:v>
      </x:c>
      <x:c r="L107" s="14" t="str">
        <x:v>Adapter/migration patch.</x:v>
      </x:c>
      <x:c r="M107" s="14" t="str">
        <x:v>Não transforma React/TS em fundação Phoenix.</x:v>
      </x:c>
      <x:c r="N107" s="14" t="str">
        <x:v>Merovíngio/Octopus/QA.</x:v>
      </x:c>
      <x:c r="O107" s="14" t="str">
        <x:v>Sob demanda</x:v>
      </x:c>
      <x:c r="P107" s="14" t="str">
        <x:v>Codex</x:v>
      </x:c>
      <x:c r="Q107" s="14" t="str">
        <x:v>Média</x:v>
      </x:c>
      <x:c r="R107" s="14" t="str">
        <x:v>01a0e473-f66a-7b05-872b-8b3d724fe10a</x:v>
      </x:c>
      <x:c r="S107" s="14" t="str">
        <x:v>F15 Skill Runtime + Memory/Context Engine | F18 MCP + LSP Runtime | F19 Repo Intelligence / Tree-sitter | F22 Device Nodes</x:v>
      </x:c>
      <x:c r="T107" s="14" t="str">
        <x:v>legacy.web.react.manage</x:v>
      </x:c>
      <x:c r="U107" s="14" t="str">
        <x:v>Skills versionadas; promoção só após prova; Memory/Context sob escopo; Context Pack mínimo; Node/session state efêmero e pareado</x:v>
      </x:c>
      <x:c r="V107" s="14" t="str">
        <x:v>agent.react.typescript.specialist.started / .completed / .failed + evidence.ledger.recorded</x:v>
      </x:c>
      <x:c r="W107" s="14" t="str">
        <x:v>Sandbox por padrão; capabilities escopadas; sem secrets diretos. Device input/screen exige autorização de sessão e logging.</x:v>
      </x:c>
      <x:c r="X107" s="14" t="str">
        <x:v>Architect (MIT) — AST/Tree-sitter/Repo Intelligence | oh-my-claudecode (MIT) — multiagentes/jobs/skills/router | Hermes — patterns; validar licença por versão</x:v>
      </x:c>
    </x:row>
    <x:row r="108" ht="62" customHeight="1">
      <x:c r="A108" s="14" t="n">
        <x:v>107</x:v>
      </x:c>
      <x:c r="B108" s="14" t="str">
        <x:v>Engenharia &amp; Arquitetura</x:v>
      </x:c>
      <x:c r="C108" s="14" t="str">
        <x:v>Rust</x:v>
      </x:c>
      <x:c r="D108" s="14" t="str">
        <x:v>Rust API/Domain Engineer</x:v>
      </x:c>
      <x:c r="E108" s="14" t="str">
        <x:v>Subagente Rust</x:v>
      </x:c>
      <x:c r="F108" s="14" t="str">
        <x:v>Implementa serviços, domínio, validação e autorização em Rust.</x:v>
      </x:c>
      <x:c r="G108" s="14" t="str">
        <x:v>Modela domain types, use cases, API services, validation e authz com testes.</x:v>
      </x:c>
      <x:c r="H108" s="14" t="str">
        <x:v>Rust toolchain, contracts, Data/Event layers.</x:v>
      </x:c>
      <x:c r="I108" s="14" t="str">
        <x:v>Implementar domínio e serviços.</x:v>
      </x:c>
      <x:c r="J108" s="14" t="str">
        <x:v>Task backend/domínio.</x:v>
      </x:c>
      <x:c r="K108" s="14" t="str">
        <x:v>Chaveiro contracts e requirements.</x:v>
      </x:c>
      <x:c r="L108" s="14" t="str">
        <x:v>Domain implementation.</x:v>
      </x:c>
      <x:c r="M108" s="14" t="str">
        <x:v>Não define contratos sozinho.</x:v>
      </x:c>
      <x:c r="N108" s="14" t="str">
        <x:v>Jones/Thompson.</x:v>
      </x:c>
      <x:c r="O108" s="14" t="str">
        <x:v>Sob demanda</x:v>
      </x:c>
      <x:c r="P108" s="14" t="str">
        <x:v>Codex</x:v>
      </x:c>
      <x:c r="Q108" s="14" t="str">
        <x:v>Alta</x:v>
      </x:c>
      <x:c r="R108" s="14" t="str">
        <x:v>01a0e473-f66b-753d-9b63-ff887cd361d2</x:v>
      </x:c>
      <x:c r="S108" s="14" t="str">
        <x:v>F15 Skill Runtime + Memory/Context Engine | F18 MCP + LSP Runtime | F19 Repo Intelligence / Tree-sitter | F22 Device Nodes | F23 Secret &amp; Credential Broker</x:v>
      </x:c>
      <x:c r="T108" s="14" t="str">
        <x:v>rust.domain.implement</x:v>
      </x:c>
      <x:c r="U108" s="14" t="str">
        <x:v>Skills versionadas; promoção só após prova; Memory/Context sob escopo; Context Pack mínimo; Node/session state efêmero e pareado; Somente metadados de segredo; valores nunca em prompt/log</x:v>
      </x:c>
      <x:c r="V108" s="14" t="str">
        <x:v>agent.rust.api.domain.engineer.started / .completed / .failed + evidence.ledger.recorded</x:v>
      </x:c>
      <x:c r="W108" s="14" t="str">
        <x:v>Least privilege; writes policy-gated; evidência obrigatória; sem autoaprovação. Device input/screen exige autorização de sessão e logging. Credenciais via broker/leases; nunca em prompt.</x:v>
      </x:c>
      <x:c r="X108" s="14" t="str">
        <x:v>Architect (MIT) — AST/Tree-sitter/Repo Intelligence | oh-my-claudecode (MIT) — multiagentes/jobs/skills/router | Hermes — patterns; validar licença por versão</x:v>
      </x:c>
    </x:row>
    <x:row r="109" ht="62" customHeight="1">
      <x:c r="A109" s="14" t="n">
        <x:v>108</x:v>
      </x:c>
      <x:c r="B109" s="14" t="str">
        <x:v>Engenharia &amp; Arquitetura</x:v>
      </x:c>
      <x:c r="C109" s="14" t="str">
        <x:v>Rust</x:v>
      </x:c>
      <x:c r="D109" s="14" t="str">
        <x:v>Rust Worker Engineer</x:v>
      </x:c>
      <x:c r="E109" s="14" t="str">
        <x:v>Subagente Rust</x:v>
      </x:c>
      <x:c r="F109" s="14" t="str">
        <x:v>Implementa concorrência, filas, scheduler, reconciliação e jobs em Rust.</x:v>
      </x:c>
      <x:c r="G109" s="14" t="str">
        <x:v>Projeta workers idempotentes, retries, leases, backpressure, cancellation e observability.</x:v>
      </x:c>
      <x:c r="H109" s="14" t="str">
        <x:v>Async runtime, PostgreSQL queues, scheduler, tracing.</x:v>
      </x:c>
      <x:c r="I109" s="14" t="str">
        <x:v>Implementar worker/job e testes de concorrência.</x:v>
      </x:c>
      <x:c r="J109" s="14" t="str">
        <x:v>Background processing/task runtime.</x:v>
      </x:c>
      <x:c r="K109" s="14" t="str">
        <x:v>Contracts + SLOs.</x:v>
      </x:c>
      <x:c r="L109" s="14" t="str">
        <x:v>Worker implementation + concurrency tests.</x:v>
      </x:c>
      <x:c r="M109" s="14" t="str">
        <x:v>Não cria job não idempotente sem política explícita.</x:v>
      </x:c>
      <x:c r="N109" s="14" t="str">
        <x:v>Performance/QA2.</x:v>
      </x:c>
      <x:c r="O109" s="14" t="str">
        <x:v>Sob demanda</x:v>
      </x:c>
      <x:c r="P109" s="14" t="str">
        <x:v>Codex</x:v>
      </x:c>
      <x:c r="Q109" s="14" t="str">
        <x:v>Alta</x:v>
      </x:c>
      <x:c r="R109" s="14" t="str">
        <x:v>01a0e473-f66c-74ab-b32c-240f0bfd2eaa</x:v>
      </x:c>
      <x:c r="S109" s="14" t="str">
        <x:v>F15 Skill Runtime + Memory/Context Engine | F16 Scheduler + Background Jobs | F18 MCP + LSP Runtime | F19 Repo Intelligence / Tree-sitter | F22 Device Nodes</x:v>
      </x:c>
      <x:c r="T109" s="14" t="str">
        <x:v>job.worker.implement</x:v>
      </x:c>
      <x:c r="U109" s="14" t="str">
        <x:v>Skills versionadas; promoção só após prova; Memory/Context sob escopo; Context Pack mínimo; Job UUIDv7 + lease/heartbeat/resume em PostgreSQL; Node/session state efêmero e pareado</x:v>
      </x:c>
      <x:c r="V109" s="14" t="str">
        <x:v>agent.rust.worker.engineer.started / .completed / .failed + evidence.ledger.recorded</x:v>
      </x:c>
      <x:c r="W109" s="14" t="str">
        <x:v>Least privilege; writes policy-gated; evidência obrigatória; sem autoaprovação. Device input/screen exige autorização de sessão e logging.</x:v>
      </x:c>
      <x:c r="X109" s="14" t="str">
        <x:v>Architect (MIT) — AST/Tree-sitter/Repo Intelligence | oh-my-claudecode (MIT) — multiagentes/jobs/skills/router | Hermes — patterns; validar licença por versão</x:v>
      </x:c>
    </x:row>
    <x:row r="110" ht="62" customHeight="1">
      <x:c r="A110" s="14" t="n">
        <x:v>109</x:v>
      </x:c>
      <x:c r="B110" s="14" t="str">
        <x:v>Dados &amp; Integrações</x:v>
      </x:c>
      <x:c r="C110" s="14" t="str">
        <x:v>Integrações</x:v>
      </x:c>
      <x:c r="D110" s="14" t="str">
        <x:v>Connector Platform Agent</x:v>
      </x:c>
      <x:c r="E110" s="14" t="str">
        <x:v>Agente de conectores</x:v>
      </x:c>
      <x:c r="F110" s="14" t="str">
        <x:v>Cria plataforma padronizada para OAuth, rate limits, retries e APIs externas.</x:v>
      </x:c>
      <x:c r="G110" s="14" t="str">
        <x:v>Define connector lifecycle, auth abstraction, pagination, webhooks, quotas, error mapping e sandbox tests.</x:v>
      </x:c>
      <x:c r="H110" s="14" t="str">
        <x:v>HTTP, Secrets, Tool Gateway, schemas, external APIs.</x:v>
      </x:c>
      <x:c r="I110" s="14" t="str">
        <x:v>Criar connector SDK/adapters e health checks.</x:v>
      </x:c>
      <x:c r="J110" s="14" t="str">
        <x:v>Nova integração externa.</x:v>
      </x:c>
      <x:c r="K110" s="14" t="str">
        <x:v>Chaveiro contracts + Merovíngio policies.</x:v>
      </x:c>
      <x:c r="L110" s="14" t="str">
        <x:v>Connector package + contract tests.</x:v>
      </x:c>
      <x:c r="M110" s="14" t="str">
        <x:v>Não expõe credenciais nem vendor types ao domínio.</x:v>
      </x:c>
      <x:c r="N110" s="14" t="str">
        <x:v>Security/Integration.</x:v>
      </x:c>
      <x:c r="O110" s="14" t="str">
        <x:v>Sob demanda</x:v>
      </x:c>
      <x:c r="P110" s="14" t="str">
        <x:v>Codex</x:v>
      </x:c>
      <x:c r="Q110" s="14" t="str">
        <x:v>Alta</x:v>
      </x:c>
      <x:c r="R110" s="14" t="str">
        <x:v>01a0e473-f66d-7a71-9cf4-4f1bbb4362b7</x:v>
      </x:c>
      <x:c r="S110" s="14" t="str">
        <x:v>F15 Skill Runtime + Memory/Context Engine | F17 Checkpoint + Rollback | F18 MCP + LSP Runtime | F21 Channel Gateway | F22 Device Nodes | F23 Secret &amp; Credential Broker | F25 Knowledge / Evidence Graph</x:v>
      </x:c>
      <x:c r="T110" s="14" t="str">
        <x:v>connector.platform.manage</x:v>
      </x:c>
      <x:c r="U110" s="14" t="str">
        <x:v>Skills versionadas; promoção só após prova; Memory/Context sob escopo; Context Pack mínimo; Checkpoint manifest + hashes + rollback evidence; Session/channel state sem credencial no contexto</x:v>
      </x:c>
      <x:c r="V110" s="14" t="str">
        <x:v>agent.connector.platform.agent.started / .completed / .failed + evidence.ledger.recorded</x:v>
      </x:c>
      <x:c r="W110" s="14" t="str">
        <x:v>Least privilege; writes policy-gated; evidência obrigatória; sem autoaprovação. Device input/screen exige autorização de sessão e logging. Credenciais via broker/leases; nunca em prompt.</x:v>
      </x:c>
      <x:c r="X110" s="14" t="str">
        <x:v>oh-my-claudecode (MIT) — multiagentes/jobs/skills/router | Hermes — patterns; validar licença por versão | OpenClaw — gateway/nodes/channels; validar licença por versão</x:v>
      </x:c>
    </x:row>
    <x:row r="111" ht="62" customHeight="1">
      <x:c r="A111" s="14" t="n">
        <x:v>110</x:v>
      </x:c>
      <x:c r="B111" s="14" t="str">
        <x:v>Operações &amp; Infraestrutura</x:v>
      </x:c>
      <x:c r="C111" s="14" t="str">
        <x:v>Operações</x:v>
      </x:c>
      <x:c r="D111" s="14" t="str">
        <x:v>Zelador de Espaço / Storage Steward</x:v>
      </x:c>
      <x:c r="E111" s="14" t="str">
        <x:v>Agente de higiene de storage</x:v>
      </x:c>
      <x:c r="F111" s="14" t="str">
        <x:v>Mantém discos e storage saudáveis sem apagar evidências necessárias.</x:v>
      </x:c>
      <x:c r="G111" s="14" t="str">
        <x:v>Inventaria uso, aplica retenção a temporários/caches/worktrees expirados, limpa leases, detecta crescimento anormal e prevê capacidade.</x:v>
      </x:c>
      <x:c r="H111" s="14" t="str">
        <x:v>Filesystem inventory, Artifact Registry, retention policies, monitoring.</x:v>
      </x:c>
      <x:c r="I111" s="14" t="str">
        <x:v>Limpar itens elegíveis, compactar/arquivar, alertar capacidade e gerar reclaim plan.</x:v>
      </x:c>
      <x:c r="J111" s="14" t="str">
        <x:v>Threshold de disco, agenda ou antes de builds pesados.</x:v>
      </x:c>
      <x:c r="K111" s="14" t="str">
        <x:v>Retention policy e inventory.</x:v>
      </x:c>
      <x:c r="L111" s="14" t="str">
        <x:v>Space/Recovery Report e bytes recuperados.</x:v>
      </x:c>
      <x:c r="M111" s="14" t="str">
        <x:v>Nunca apaga artifact/evidence sem política, hash e retenção satisfeita.</x:v>
      </x:c>
      <x:c r="N111" s="14" t="str">
        <x:v>SRE/Artifact Manager/Backup.</x:v>
      </x:c>
      <x:c r="O111" s="14" t="str">
        <x:v>Permanente</x:v>
      </x:c>
      <x:c r="P111" s="14" t="str">
        <x:v>Ollama/Determinístico</x:v>
      </x:c>
      <x:c r="Q111" s="14" t="str">
        <x:v>Alta</x:v>
      </x:c>
      <x:c r="R111" s="14" t="str">
        <x:v>01a0e473-f66e-700e-bed6-715110ebbc7c</x:v>
      </x:c>
      <x:c r="S111" s="14" t="str">
        <x:v>F15 Skill Runtime + Memory/Context Engine | F17 Checkpoint + Rollback | F22 Device Nodes</x:v>
      </x:c>
      <x:c r="T111" s="14" t="str">
        <x:v>storage.lifecycle.manage</x:v>
      </x:c>
      <x:c r="U111" s="14" t="str">
        <x:v>Skills versionadas; promoção só após prova; Memory/Context sob escopo; Context Pack mínimo; Checkpoint manifest + hashes + rollback evidence; Node/session state efêmero e pareado</x:v>
      </x:c>
      <x:c r="V111" s="14" t="str">
        <x:v>agent.zelador.de.espaco.storage.steward.started / .completed / .failed + evidence.ledger.recorded</x:v>
      </x:c>
      <x:c r="W111" s="14" t="str">
        <x:v>Least privilege; writes policy-gated; evidência obrigatória; sem autoaprovação. Device input/screen exige autorização de sessão e logging.</x:v>
      </x:c>
      <x:c r="X111" s="14" t="str">
        <x:v>oh-my-claudecode (MIT) — multiagentes/jobs/skills/router | Hermes — patterns; validar licença por versão | OpenClaw — gateway/nodes/channels; validar licença por versão</x:v>
      </x:c>
    </x:row>
  </x:sheetData>
  <x:conditionalFormatting sqref="R2:X111">
    <x:cfRule type="expression" dxfId="4" priority="5">
      <x:formula>MOD(ROW(),2)=0</x:formula>
    </x:cfRule>
  </x:conditionalFormatting>
  <x:conditionalFormatting sqref="Q2:Q111">
    <x:cfRule type="expression" dxfId="5" priority="6">
      <x:formula>Q2="Crítica"</x:formula>
    </x:cfRule>
    <x:cfRule type="expression" dxfId="6" priority="7">
      <x:formula>Q2="Alta"</x:formula>
    </x:cfRule>
    <x:cfRule type="expression" dxfId="7" priority="8">
      <x:formula>Q2="Média"</x:formula>
    </x:cfRule>
    <x:cfRule type="expression" dxfId="8" priority="9">
      <x:formula>Q2="Baixa"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c3bc78a8e548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" hidden="0" customWidth="1"/>
    <x:col min="3" max="3" width="30" hidden="0" customWidth="1"/>
    <x:col min="4" max="4" width="24" hidden="0" customWidth="1"/>
    <x:col min="5" max="5" width="22" hidden="0" customWidth="1"/>
    <x:col min="6" max="6" width="50" hidden="0" customWidth="1"/>
    <x:col min="7" max="7" width="30" hidden="0" customWidth="1"/>
    <x:col min="8" max="8" width="14" hidden="0" customWidth="1"/>
    <x:col min="9" max="9" width="18" hidden="0" customWidth="1"/>
    <x:col min="10" max="10" width="12" hidden="0" customWidth="1"/>
    <x:col min="11" max="11" width="32" hidden="0" customWidth="1"/>
    <x:col min="12" max="12" width="56" hidden="0" customWidth="1"/>
    <x:col min="13" max="13" width="2" hidden="0" customWidth="1"/>
  </x:cols>
  <x:sheetData>
    <x:row r="1" ht="30" customHeight="1">
      <x:c r="A1" s="37" t="str">
        <x:v>PHOENIXCLAW — Equipe de 110 Agentes/Subagentes • Arquitetura F14–F25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 s="29" t="str">
        <x:v>Indicador</x:v>
      </x:c>
      <x:c r="B3" s="29" t="str">
        <x:v>Valor</x:v>
      </x:c>
      <x:c r="C3"/>
      <x:c r="D3" s="29" t="str">
        <x:v>Macroárea</x:v>
      </x:c>
      <x:c r="E3" s="29" t="str">
        <x:v>Quantidade</x:v>
      </x:c>
      <x:c r="F3"/>
      <x:c r="G3" s="29" t="str">
        <x:v>Fonte</x:v>
      </x:c>
      <x:c r="H3" s="29" t="str">
        <x:v>O que aproveitar</x:v>
      </x:c>
      <x:c r="I3" s="29" t="str">
        <x:v>Política de reuso</x:v>
      </x:c>
      <x:c r="J3" s="29" t="str">
        <x:v>Decisão</x:v>
      </x:c>
      <x:c r="K3"/>
      <x:c r="L3"/>
      <x:c r="M3"/>
    </x:row>
    <x:row r="4">
      <x:c r="A4" t="str">
        <x:v>Total de papéis</x:v>
      </x:c>
      <x:c r="B4" t="n">
        <x:f>COUNTA('Equipe 110'!D2:D111)</x:f>
        <x:v>110</x:v>
      </x:c>
      <x:c r="C4"/>
      <x:c r="D4" t="str">
        <x:v>Governança &amp; Estratégia</x:v>
      </x:c>
      <x:c r="E4" t="n">
        <x:f>COUNTIF('Equipe 110'!B2:B111,D4)</x:f>
        <x:v>6</x:v>
      </x:c>
      <x:c r="F4"/>
      <x:c r="G4" t="str">
        <x:v>Architect</x:v>
      </x:c>
      <x:c r="H4" t="str">
        <x:v>AST/Tree-sitter, dependency graph, anti-patterns, scoring, refactor</x:v>
      </x:c>
      <x:c r="I4" t="str">
        <x:v>MIT no anexo; pode adaptar mantendo notice</x:v>
      </x:c>
      <x:c r="J4" t="str">
        <x:v>APROVEITAR</x:v>
      </x:c>
      <x:c r="K4"/>
      <x:c r="L4"/>
      <x:c r="M4"/>
    </x:row>
    <x:row r="5">
      <x:c r="A5" t="str">
        <x:v>Macroáreas</x:v>
      </x:c>
      <x:c r="B5" t="n">
        <x:v>11</x:v>
      </x:c>
      <x:c r="C5"/>
      <x:c r="D5" t="str">
        <x:v>Engenharia &amp; Arquitetura</x:v>
      </x:c>
      <x:c r="E5" t="n">
        <x:f>COUNTIF('Equipe 110'!B2:B111,D5)</x:f>
        <x:v>20</x:v>
      </x:c>
      <x:c r="F5"/>
      <x:c r="G5" t="str">
        <x:v>oh-my-claudecode</x:v>
      </x:c>
      <x:c r="H5" t="str">
        <x:v>multiagentes, model routing, jobs, skills, memory, MCP/LSP, locks</x:v>
      </x:c>
      <x:c r="I5" t="str">
        <x:v>MIT no anexo; adaptar componentes/padrões</x:v>
      </x:c>
      <x:c r="J5" t="str">
        <x:v>APROVEITAR</x:v>
      </x:c>
      <x:c r="K5"/>
      <x:c r="L5"/>
      <x:c r="M5"/>
    </x:row>
    <x:row r="6">
      <x:c r="A6" t="str">
        <x:v>Papéis críticos</x:v>
      </x:c>
      <x:c r="B6" t="n">
        <x:f>COUNTIF('Equipe 110'!Q2:Q111,"Crítica")</x:f>
        <x:v>38</x:v>
      </x:c>
      <x:c r="C6"/>
      <x:c r="D6" t="str">
        <x:v>Pesquisa &amp; Inovação</x:v>
      </x:c>
      <x:c r="E6" t="n">
        <x:f>COUNTIF('Equipe 110'!B2:B111,D6)</x:f>
        <x:v>9</x:v>
      </x:c>
      <x:c r="F6"/>
      <x:c r="G6" t="str">
        <x:v>Claw Code Rust</x:v>
      </x:c>
      <x:c r="H6" t="str">
        <x:v>provider abstraction, tool registry, permissions, sandbox, MCP/LSP</x:v>
      </x:c>
      <x:c r="I6" t="str">
        <x:v>Referência técnica; validar licença do snapshot antes de copiar</x:v>
      </x:c>
      <x:c r="J6" t="str">
        <x:v>REFERÊNCIA</x:v>
      </x:c>
      <x:c r="K6"/>
      <x:c r="L6"/>
      <x:c r="M6"/>
    </x:row>
    <x:row r="7">
      <x:c r="A7" t="str">
        <x:v>Papéis permanentes</x:v>
      </x:c>
      <x:c r="B7" t="n">
        <x:f>COUNTIF('Equipe 110'!O2:O111,"Permanente")</x:f>
        <x:v>40</x:v>
      </x:c>
      <x:c r="C7"/>
      <x:c r="D7" t="str">
        <x:v>Qualidade &amp; Provas</x:v>
      </x:c>
      <x:c r="E7" t="n">
        <x:f>COUNTIF('Equipe 110'!B2:B111,D7)</x:f>
        <x:v>18</x:v>
      </x:c>
      <x:c r="F7"/>
      <x:c r="G7" t="str">
        <x:v>Claude Code snapshot</x:v>
      </x:c>
      <x:c r="H7" t="str">
        <x:v>tools/commands/bridge/context/task loop</x:v>
      </x:c>
      <x:c r="I7" t="str">
        <x:v>UNLICENSED no anexo; somente clean-room conceitual, sem copiar código</x:v>
      </x:c>
      <x:c r="J7" t="str">
        <x:v>NÃO COPIAR</x:v>
      </x:c>
      <x:c r="K7"/>
      <x:c r="L7"/>
      <x:c r="M7"/>
    </x:row>
    <x:row r="8">
      <x:c r="A8" t="str">
        <x:v>Módulos do roadmap F14–F25</x:v>
      </x:c>
      <x:c r="B8" t="n">
        <x:v>12</x:v>
      </x:c>
      <x:c r="C8"/>
      <x:c r="D8" t="str">
        <x:v>Segurança &amp; Compliance</x:v>
      </x:c>
      <x:c r="E8" t="n">
        <x:f>COUNTIF('Equipe 110'!B2:B111,D8)</x:f>
        <x:v>9</x:v>
      </x:c>
      <x:c r="F8"/>
      <x:c r="G8" t="str">
        <x:v>OpenClaw</x:v>
      </x:c>
      <x:c r="H8" t="str">
        <x:v>channel gateway, plugins, nodes, speech/media</x:v>
      </x:c>
      <x:c r="I8" t="str">
        <x:v>Usar padrões; confirmar licença do commit/tag antes de incorporar</x:v>
      </x:c>
      <x:c r="J8" t="str">
        <x:v>APROVEITAR PADRÕES</x:v>
      </x:c>
      <x:c r="K8"/>
      <x:c r="L8"/>
      <x:c r="M8"/>
    </x:row>
    <x:row r="9">
      <x:c r="A9" t="str">
        <x:v>UUIDv7 persistentes</x:v>
      </x:c>
      <x:c r="B9" t="n">
        <x:f>COUNTA('Equipe 110'!R2:R111)</x:f>
        <x:v>110</x:v>
      </x:c>
      <x:c r="C9"/>
      <x:c r="D9" t="str">
        <x:v>Operações &amp; Infraestrutura</x:v>
      </x:c>
      <x:c r="E9" t="n">
        <x:f>COUNTIF('Equipe 110'!B2:B111,D9)</x:f>
        <x:v>15</x:v>
      </x:c>
      <x:c r="F9"/>
      <x:c r="G9" t="str">
        <x:v>Hermes Agent</x:v>
      </x:c>
      <x:c r="H9" t="str">
        <x:v>memory ≠ skills, cron, checkpoints, background jobs, secret scopes</x:v>
      </x:c>
      <x:c r="I9" t="str">
        <x:v>Usar padrões; confirmar licença do commit/tag antes de incorporar</x:v>
      </x:c>
      <x:c r="J9" t="str">
        <x:v>APROVEITAR PADRÕES</x:v>
      </x:c>
      <x:c r="K9"/>
      <x:c r="L9"/>
      <x:c r="M9"/>
    </x:row>
    <x:row r="10">
      <x:c r="A10" s="6"/>
      <x:c r="B10" s="6"/>
      <x:c r="C10" s="6"/>
      <x:c r="D10" s="6" t="str">
        <x:v>IA &amp; Conhecimento</x:v>
      </x:c>
      <x:c r="E10" s="6" t="n">
        <x:f>COUNTIF('Equipe 110'!B2:B111,D10)</x:f>
        <x:v>6</x:v>
      </x:c>
      <x:c r="F10" s="6"/>
      <x:c r="G10" t="str">
        <x:v>ZeroClaw</x:v>
      </x:c>
      <x:c r="H10" t="str">
        <x:v>runtime Rust, providers, channels, tools, Ollama</x:v>
      </x:c>
      <x:c r="I10" t="str">
        <x:v>Benchmark + padrões; confirmar licença do commit/tag antes de incorporar</x:v>
      </x:c>
      <x:c r="J10" t="str">
        <x:v>BENCHMARK</x:v>
      </x:c>
      <x:c r="K10"/>
      <x:c r="L10"/>
      <x:c r="M10"/>
    </x:row>
    <x:row r="11">
      <x:c r="A11" s="12"/>
      <x:c r="B11" s="12"/>
      <x:c r="C11" s="12"/>
      <x:c r="D11" t="str">
        <x:v>Creative Studio &amp; UX</x:v>
      </x:c>
      <x:c r="E11" t="n">
        <x:f>COUNTIF('Equipe 110'!B2:B111,D11)</x:f>
        <x:v>14</x:v>
      </x:c>
      <x:c r="F11"/>
      <x:c r="G11"/>
      <x:c r="H11"/>
      <x:c r="I11"/>
      <x:c r="J11"/>
      <x:c r="K11"/>
      <x:c r="L11"/>
      <x:c r="M11"/>
    </x:row>
    <x:row r="12">
      <x:c r="A12" s="29" t="str">
        <x:v>Princípio</x:v>
      </x:c>
      <x:c r="B12" s="29" t="str">
        <x:v>Nome</x:v>
      </x:c>
      <x:c r="C12" s="29" t="str">
        <x:v>Regra</x:v>
      </x:c>
      <x:c r="D12" t="str">
        <x:v>Dados &amp; Integrações</x:v>
      </x:c>
      <x:c r="E12" t="n">
        <x:f>COUNTIF('Equipe 110'!B2:B111,D12)</x:f>
        <x:v>6</x:v>
      </x:c>
      <x:c r="F12"/>
      <x:c r="G12" s="29" t="str">
        <x:v>Sprint</x:v>
      </x:c>
      <x:c r="H12" s="29" t="str">
        <x:v>Módulo</x:v>
      </x:c>
      <x:c r="I12" s="29" t="str">
        <x:v>Papéis âncora</x:v>
      </x:c>
      <x:c r="J12" s="29" t="str">
        <x:v>Referência</x:v>
      </x:c>
      <x:c r="K12"/>
      <x:c r="L12"/>
      <x:c r="M12"/>
    </x:row>
    <x:row r="13">
      <x:c r="A13" s="12" t="str">
        <x:v>P1</x:v>
      </x:c>
      <x:c r="B13" s="12" t="str">
        <x:v>Core mínimo</x:v>
      </x:c>
      <x:c r="C13" s="12" t="str">
        <x:v>Research Core, Hypothesis Core e Installer Core permanecem nativos; resto plugin-first.</x:v>
      </x:c>
      <x:c r="D13" t="str">
        <x:v>Gestão &amp; Financeiro</x:v>
      </x:c>
      <x:c r="E13" t="n">
        <x:f>COUNTIF('Equipe 110'!B2:B111,D13)</x:f>
        <x:v>4</x:v>
      </x:c>
      <x:c r="F13"/>
      <x:c r="G13" t="str">
        <x:v>F14</x:v>
      </x:c>
      <x:c r="H13" t="str">
        <x:v>Skill Runtime</x:v>
      </x:c>
      <x:c r="I13" t="str">
        <x:v>Context Compiler; Knowledge Graph; Hypothesis; Research; AI Evaluation</x:v>
      </x:c>
      <x:c r="J13" t="str">
        <x:v>Hermes + oh-my-claudecode</x:v>
      </x:c>
      <x:c r="K13"/>
      <x:c r="L13"/>
      <x:c r="M13"/>
    </x:row>
    <x:row r="14">
      <x:c r="A14" s="12" t="str">
        <x:v>P2</x:v>
      </x:c>
      <x:c r="B14" s="12" t="str">
        <x:v>Skill ≠ Memory</x:v>
      </x:c>
      <x:c r="C14" s="12" t="str">
        <x:v>Procedimentos versionados e validados são Skills; fatos/contexto durável ficam em Memory.</x:v>
      </x:c>
      <x:c r="D14" t="str">
        <x:v>Produto &amp; Growth</x:v>
      </x:c>
      <x:c r="E14" t="n">
        <x:f>COUNTIF('Equipe 110'!B2:B111,D14)</x:f>
        <x:v>3</x:v>
      </x:c>
      <x:c r="F14"/>
      <x:c r="G14" t="str">
        <x:v>F15</x:v>
      </x:c>
      <x:c r="H14" t="str">
        <x:v>Memory + Context Engine</x:v>
      </x:c>
      <x:c r="I14" t="str">
        <x:v>Context Compiler; Knowledge Graph; Privacy; Data; Model Router</x:v>
      </x:c>
      <x:c r="J14" t="str">
        <x:v>Hermes</x:v>
      </x:c>
      <x:c r="K14"/>
      <x:c r="L14"/>
      <x:c r="M14"/>
    </x:row>
    <x:row r="15">
      <x:c r="A15" s="12" t="str">
        <x:v>P3</x:v>
      </x:c>
      <x:c r="B15" s="12" t="str">
        <x:v>Evidência antes de promoção</x:v>
      </x:c>
      <x:c r="C15" s="12" t="str">
        <x:v>Candidate Skill só entra no Registry após Hypothesis + teste + OPA/QA.</x:v>
      </x:c>
      <x:c r="D15"/>
      <x:c r="E15"/>
      <x:c r="F15"/>
      <x:c r="G15" t="str">
        <x:v>F16</x:v>
      </x:c>
      <x:c r="H15" t="str">
        <x:v>Scheduler + Background Jobs</x:v>
      </x:c>
      <x:c r="I15" t="str">
        <x:v>Master Orchestrator; Event/Command; Rust Worker; SRE; PMO</x:v>
      </x:c>
      <x:c r="J15" t="str">
        <x:v>Hermes + oh-my-claudecode</x:v>
      </x:c>
      <x:c r="K15"/>
      <x:c r="L15"/>
      <x:c r="M15"/>
    </x:row>
    <x:row r="16">
      <x:c r="A16" s="12" t="str">
        <x:v>P4</x:v>
      </x:c>
      <x:c r="B16" s="12" t="str">
        <x:v>Determinístico antes de LLM</x:v>
      </x:c>
      <x:c r="C16" s="12" t="str">
        <x:v>Cron/job/script determinístico não deve consumir modelo sem necessidade.</x:v>
      </x:c>
      <x:c r="D16"/>
      <x:c r="E16"/>
      <x:c r="F16"/>
      <x:c r="G16" t="str">
        <x:v>F17</x:v>
      </x:c>
      <x:c r="H16" t="str">
        <x:v>Checkpoint + Rollback</x:v>
      </x:c>
      <x:c r="I16" t="str">
        <x:v>Backup; Restore; Migration Guardian; Release Manager; Artifact Manager</x:v>
      </x:c>
      <x:c r="J16" t="str">
        <x:v>Hermes</x:v>
      </x:c>
      <x:c r="K16"/>
      <x:c r="L16"/>
      <x:c r="M16"/>
    </x:row>
    <x:row r="17">
      <x:c r="A17" s="12" t="str">
        <x:v>P5</x:v>
      </x:c>
      <x:c r="B17" s="12" t="str">
        <x:v>Deny-by-default</x:v>
      </x:c>
      <x:c r="C17" s="12" t="str">
        <x:v>Desktop/Node/MCP/Channel/Secrets operam por capability, policy e evidence.</x:v>
      </x:c>
      <x:c r="D17"/>
      <x:c r="E17"/>
      <x:c r="F17"/>
      <x:c r="G17" t="str">
        <x:v>F18</x:v>
      </x:c>
      <x:c r="H17" t="str">
        <x:v>MCP + LSP Runtime</x:v>
      </x:c>
      <x:c r="I17" t="str">
        <x:v>Tool/MCP Manager; Link; Chaveiro; Trinity; Seraph</x:v>
      </x:c>
      <x:c r="J17" t="str">
        <x:v>oh-my-claudecode + ZeroClaw + Claw Code Rust</x:v>
      </x:c>
      <x:c r="K17"/>
      <x:c r="L17"/>
      <x:c r="M17"/>
    </x:row>
    <x:row r="18">
      <x:c r="A18" t="str">
        <x:v>P6</x:v>
      </x:c>
      <x:c r="B18" t="str">
        <x:v>Checkpoint antes de side effect</x:v>
      </x:c>
      <x:c r="C18" t="str">
        <x:v>Writes persistentes/destrutivos relevantes exigem snapshot/rollback quando aplicável.</x:v>
      </x:c>
      <x:c r="D18"/>
      <x:c r="E18"/>
      <x:c r="F18"/>
      <x:c r="G18" t="str">
        <x:v>F19</x:v>
      </x:c>
      <x:c r="H18" t="str">
        <x:v>Repo Intelligence / Tree-sitter</x:v>
      </x:c>
      <x:c r="I18" t="str">
        <x:v>Arquiteto; Research; Brown; Smith; Context Compiler; Evidence Graph</x:v>
      </x:c>
      <x:c r="J18" t="str">
        <x:v>Architect</x:v>
      </x:c>
      <x:c r="K18"/>
      <x:c r="L18"/>
      <x:c r="M18"/>
    </x:row>
    <x:row r="19">
      <x:c r="A19"/>
      <x:c r="B19"/>
      <x:c r="C19"/>
      <x:c r="D19"/>
      <x:c r="E19"/>
      <x:c r="F19"/>
      <x:c r="G19" t="str">
        <x:v>F20</x:v>
      </x:c>
      <x:c r="H19" t="str">
        <x:v>Team Runtime</x:v>
      </x:c>
      <x:c r="I19" t="str">
        <x:v>Master Orchestrator; Scrum Master; PMO; Seraph; QA; Budget/FinOps</x:v>
      </x:c>
      <x:c r="J19" t="str">
        <x:v>oh-my-claudecode + ZeroClaw</x:v>
      </x:c>
      <x:c r="K19"/>
      <x:c r="L19"/>
      <x:c r="M19"/>
    </x:row>
    <x:row r="20" ht="50" customHeight="1">
      <x:c r="A20" s="27"/>
      <x:c r="B20" s="27"/>
      <x:c r="C20" s="27"/>
      <x:c r="D20" s="27"/>
      <x:c r="E20" s="27"/>
      <x:c r="F20" s="27"/>
      <x:c r="G20" t="str">
        <x:v>F21</x:v>
      </x:c>
      <x:c r="H20" t="str">
        <x:v>Channel Gateway</x:v>
      </x:c>
      <x:c r="I20" t="str">
        <x:v>Connector Platform; SOC; ADS; Marketplace; Link; Seraph; Secrets</x:v>
      </x:c>
      <x:c r="J20" t="str">
        <x:v>OpenClaw + ZeroClaw</x:v>
      </x:c>
      <x:c r="K20"/>
      <x:c r="L20"/>
      <x:c r="M20"/>
    </x:row>
    <x:row r="21">
      <x:c r="A21"/>
      <x:c r="B21"/>
      <x:c r="C21"/>
      <x:c r="D21"/>
      <x:c r="E21"/>
      <x:c r="F21"/>
      <x:c r="G21" t="str">
        <x:v>F22</x:v>
      </x:c>
      <x:c r="H21" t="str">
        <x:v>Device Nodes</x:v>
      </x:c>
      <x:c r="I21" t="str">
        <x:v>Action/Media; Link; SRE; Dozer; Sandbox; Seraph; Secrets</x:v>
      </x:c>
      <x:c r="J21" t="str">
        <x:v>OpenClaw + ZeroClaw</x:v>
      </x:c>
      <x:c r="K21"/>
      <x:c r="L21"/>
      <x:c r="M21"/>
    </x:row>
    <x:row r="22">
      <x:c r="A22"/>
      <x:c r="B22"/>
      <x:c r="C22"/>
      <x:c r="D22"/>
      <x:c r="E22"/>
      <x:c r="F22"/>
      <x:c r="G22" t="str">
        <x:v>F23</x:v>
      </x:c>
      <x:c r="H22" t="str">
        <x:v>Secret &amp; Credential Broker</x:v>
      </x:c>
      <x:c r="I22" t="str">
        <x:v>Secrets Manager; Seraph; Privacy; Chaveiro; Supply Chain</x:v>
      </x:c>
      <x:c r="J22" t="str">
        <x:v>Hermes + OpenClaw + ZeroClaw</x:v>
      </x:c>
      <x:c r="K22"/>
      <x:c r="L22"/>
      <x:c r="M22"/>
    </x:row>
    <x:row r="23">
      <x:c r="A23"/>
      <x:c r="B23"/>
      <x:c r="C23"/>
      <x:c r="D23"/>
      <x:c r="E23"/>
      <x:c r="F23"/>
      <x:c r="G23" t="str">
        <x:v>F24</x:v>
      </x:c>
      <x:c r="H23" t="str">
        <x:v>Auto-learning + Skill Evolution</x:v>
      </x:c>
      <x:c r="I23" t="str">
        <x:v>Hypothesis; Research; AI Evaluation; Knowledge/Evidence; OPA/QA</x:v>
      </x:c>
      <x:c r="J23" t="str">
        <x:v>Hermes + oh-my-claudecode</x:v>
      </x:c>
      <x:c r="K23"/>
      <x:c r="L23"/>
      <x:c r="M23"/>
    </x:row>
    <x:row r="24">
      <x:c r="A24"/>
      <x:c r="B24"/>
      <x:c r="C24"/>
      <x:c r="D24"/>
      <x:c r="E24"/>
      <x:c r="F24"/>
      <x:c r="G24" t="str">
        <x:v>F25</x:v>
      </x:c>
      <x:c r="H24" t="str">
        <x:v>Knowledge / Evidence Graph</x:v>
      </x:c>
      <x:c r="I24" t="str">
        <x:v>Knowledge Graph; Evidence Graph; Context Compiler; Research; Data Attribution</x:v>
      </x:c>
      <x:c r="J24" t="str">
        <x:v>Architect + Hermes + oh-my-claudecode</x:v>
      </x:c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 s="41" t="str">
        <x:v>UUIDv7</x:v>
      </x:c>
      <x:c r="B27" s="41" t="str">
        <x:v>ID</x:v>
      </x:c>
      <x:c r="C27" s="41" t="str">
        <x:v>Agente / Subagente</x:v>
      </x:c>
      <x:c r="D27" s="41" t="str">
        <x:v>Macroárea</x:v>
      </x:c>
      <x:c r="E27" s="41" t="str">
        <x:v>Tipo</x:v>
      </x:c>
      <x:c r="F27" s="41" t="str">
        <x:v>Módulos F14–F25</x:v>
      </x:c>
      <x:c r="G27" s="41" t="str">
        <x:v>Capability principal</x:v>
      </x:c>
      <x:c r="H27" s="41" t="str">
        <x:v>Execução</x:v>
      </x:c>
      <x:c r="I27" s="41" t="str">
        <x:v>Modelo</x:v>
      </x:c>
      <x:c r="J27" s="41" t="str">
        <x:v>Criticidade</x:v>
      </x:c>
      <x:c r="K27" s="41" t="str">
        <x:v>Próximo gate</x:v>
      </x:c>
      <x:c r="L27" s="41" t="str">
        <x:v>Referência / Reuso</x:v>
      </x:c>
      <x:c r="M27"/>
    </x:row>
    <x:row r="28" ht="44" customHeight="1">
      <x:c r="A28" s="14" t="str">
        <x:v>01a0e473-f601-710f-a4c9-f0e852a63358</x:v>
      </x:c>
      <x:c r="B28" s="14" t="n">
        <x:v>1</x:v>
      </x:c>
      <x:c r="C28" s="14" t="str">
        <x:v>Product Owner – Humano</x:v>
      </x:c>
      <x:c r="D28" s="14" t="str">
        <x:v>Governança &amp; Estratégia</x:v>
      </x:c>
      <x:c r="E28" s="14" t="str">
        <x:v>Papel humano</x:v>
      </x:c>
      <x:c r="F28" s="14" t="str">
        <x:v>F15 Skill Runtime + Memory/Context Engine | F17 Checkpoint + Rollback | F20 Team Runtime</x:v>
      </x:c>
      <x:c r="G28" s="14" t="str">
        <x:v>governance.objective.approve</x:v>
      </x:c>
      <x:c r="H28" s="14" t="str">
        <x:v>Permanente</x:v>
      </x:c>
      <x:c r="I28" s="14" t="str">
        <x:v>Humano</x:v>
      </x:c>
      <x:c r="J28" s="14" t="str">
        <x:v>Crítica</x:v>
      </x:c>
      <x:c r="K28" s="14" t="str">
        <x:v>Master Orchestrator / PMO recebe a decisão.</x:v>
      </x:c>
      <x:c r="L28" s="14" t="str">
        <x:v>oh-my-claudecode (MIT) — multiagentes/jobs/skills/router | Hermes — patterns; validar licença por versão | ZeroClaw — benchmark Rust/providers/tools</x:v>
      </x:c>
      <x:c r="M28"/>
    </x:row>
    <x:row r="29" ht="44" customHeight="1">
      <x:c r="A29" s="14" t="str">
        <x:v>01a0e473-f602-7e32-9e89-7886eab11711</x:v>
      </x:c>
      <x:c r="B29" s="14" t="n">
        <x:v>2</x:v>
      </x:c>
      <x:c r="C29" s="14" t="str">
        <x:v>Master Orchestrator</x:v>
      </x:c>
      <x:c r="D29" s="14" t="str">
        <x:v>Governança &amp; Estratégia</x:v>
      </x:c>
      <x:c r="E29" s="14" t="str">
        <x:v>Agente líder</x:v>
      </x:c>
      <x:c r="F29" s="14" t="str">
        <x:v>F15 Skill Runtime + Memory/Context Engine | F16 Scheduler + Background Jobs | F20 Team Runtime | F22 Device Nodes</x:v>
      </x:c>
      <x:c r="G29" s="14" t="str">
        <x:v>task.orchestrate</x:v>
      </x:c>
      <x:c r="H29" s="14" t="str">
        <x:v>Permanente</x:v>
      </x:c>
      <x:c r="I29" s="14" t="str">
        <x:v>Híbrido</x:v>
      </x:c>
      <x:c r="J29" s="14" t="str">
        <x:v>Crítica</x:v>
      </x:c>
      <x:c r="K29" s="14" t="str">
        <x:v>Encaminha ao papel correto e ao próximo gate.</x:v>
      </x:c>
      <x:c r="L29" s="14" t="str">
        <x:v>oh-my-claudecode (MIT) — multiagentes/jobs/skills/router | Hermes — patterns; validar licença por versão | OpenClaw — gateway/nodes/channels; validar licença por versão</x:v>
      </x:c>
      <x:c r="M29"/>
    </x:row>
    <x:row r="30" ht="44" customHeight="1">
      <x:c r="A30" s="14" t="str">
        <x:v>01a0e473-f603-72b3-946d-c6b9621006f8</x:v>
      </x:c>
      <x:c r="B30" s="14" t="n">
        <x:v>3</x:v>
      </x:c>
      <x:c r="C30" s="14" t="str">
        <x:v>Analista</x:v>
      </x:c>
      <x:c r="D30" s="14" t="str">
        <x:v>Governança &amp; Estratégia</x:v>
      </x:c>
      <x:c r="E30" s="14" t="str">
        <x:v>Agente de análise</x:v>
      </x:c>
      <x:c r="F30" s="14" t="str">
        <x:v>F15 Skill Runtime + Memory/Context Engine | F20 Team Runtime | F22 Device Nodes</x:v>
      </x:c>
      <x:c r="G30" s="14" t="str">
        <x:v>requirements.analyze</x:v>
      </x:c>
      <x:c r="H30" s="14" t="str">
        <x:v>Sob demanda</x:v>
      </x:c>
      <x:c r="I30" s="14" t="str">
        <x:v>Ollama/Claude</x:v>
      </x:c>
      <x:c r="J30" s="14" t="str">
        <x:v>Alta</x:v>
      </x:c>
      <x:c r="K30" s="14" t="str">
        <x:v>Arquiteto.</x:v>
      </x:c>
      <x:c r="L30" s="14" t="str">
        <x:v>oh-my-claudecode (MIT) — multiagentes/jobs/skills/router | Hermes — patterns; validar licença por versão | OpenClaw — gateway/nodes/channels; validar licença por versão</x:v>
      </x:c>
      <x:c r="M30"/>
    </x:row>
    <x:row r="31" ht="44" customHeight="1">
      <x:c r="A31" s="14" t="str">
        <x:v>01a0e473-f604-77d8-a13d-7ee652e67964</x:v>
      </x:c>
      <x:c r="B31" s="14" t="n">
        <x:v>4</x:v>
      </x:c>
      <x:c r="C31" s="14" t="str">
        <x:v>Arquiteto</x:v>
      </x:c>
      <x:c r="D31" s="14" t="str">
        <x:v>Engenharia &amp; Arquitetura</x:v>
      </x:c>
      <x:c r="E31" s="14" t="str">
        <x:v>Agente de arquitetura</x:v>
      </x:c>
      <x:c r="F31" s="14" t="str">
        <x:v>F15 Skill Runtime + Memory/Context Engine | F19 Repo Intelligence / Tree-sitter | F22 Device Nodes | F25 Knowledge / Evidence Graph</x:v>
      </x:c>
      <x:c r="G31" s="14" t="str">
        <x:v>architecture.design</x:v>
      </x:c>
      <x:c r="H31" s="14" t="str">
        <x:v>Sob demanda</x:v>
      </x:c>
      <x:c r="I31" s="14" t="str">
        <x:v>Claude/Codex</x:v>
      </x:c>
      <x:c r="J31" s="14" t="str">
        <x:v>Crítica</x:v>
      </x:c>
      <x:c r="K31" s="14" t="str">
        <x:v>Chaveiro / Guardian.</x:v>
      </x:c>
      <x:c r="L31" s="14" t="str">
        <x:v>Architect (MIT) — AST/Tree-sitter/Repo Intelligence | oh-my-claudecode (MIT) — multiagentes/jobs/skills/router | Hermes — patterns; validar licença por versão</x:v>
      </x:c>
      <x:c r="M31"/>
    </x:row>
    <x:row r="32" ht="44" customHeight="1">
      <x:c r="A32" s="14" t="str">
        <x:v>01a0e473-f605-74d9-812b-8ec827796405</x:v>
      </x:c>
      <x:c r="B32" s="14" t="n">
        <x:v>5</x:v>
      </x:c>
      <x:c r="C32" s="14" t="str">
        <x:v>Morpheus</x:v>
      </x:c>
      <x:c r="D32" s="14" t="str">
        <x:v>Governança &amp; Estratégia</x:v>
      </x:c>
      <x:c r="E32" s="14" t="str">
        <x:v>Agente mentor</x:v>
      </x:c>
      <x:c r="F32" s="14" t="str">
        <x:v>F15 Skill Runtime + Memory/Context Engine | F19 Repo Intelligence / Tree-sitter | F20 Team Runtime | F22 Device Nodes</x:v>
      </x:c>
      <x:c r="G32" s="14" t="str">
        <x:v>strategy.escalate</x:v>
      </x:c>
      <x:c r="H32" s="14" t="str">
        <x:v>Sob demanda</x:v>
      </x:c>
      <x:c r="I32" s="14" t="str">
        <x:v>Claude</x:v>
      </x:c>
      <x:c r="J32" s="14" t="str">
        <x:v>Crítica</x:v>
      </x:c>
      <x:c r="K32" s="14" t="str">
        <x:v>Oráculo / Arquiteto / Neo-Trinity.</x:v>
      </x:c>
      <x:c r="L32" s="14" t="str">
        <x:v>Architect (MIT) — AST/Tree-sitter/Repo Intelligence | oh-my-claudecode (MIT) — multiagentes/jobs/skills/router | Hermes — patterns; validar licença por versão</x:v>
      </x:c>
      <x:c r="M32"/>
    </x:row>
    <x:row r="33" ht="44" customHeight="1">
      <x:c r="A33" s="14" t="str">
        <x:v>01a0e473-f606-78cd-86b5-d4192e95853c</x:v>
      </x:c>
      <x:c r="B33" s="14" t="n">
        <x:v>6</x:v>
      </x:c>
      <x:c r="C33" s="14" t="str">
        <x:v>Oráculo</x:v>
      </x:c>
      <x:c r="D33" s="14" t="str">
        <x:v>Governança &amp; Estratégia</x:v>
      </x:c>
      <x:c r="E33" s="14" t="str">
        <x:v>Agente de decisão</x:v>
      </x:c>
      <x:c r="F33" s="14" t="str">
        <x:v>F15 Skill Runtime + Memory/Context Engine | F19 Repo Intelligence / Tree-sitter | F20 Team Runtime | F22 Device Nodes | F24 Auto-learning + Skill Evolution | F25 Knowledge / Evidence Graph</x:v>
      </x:c>
      <x:c r="G33" s="14" t="str">
        <x:v>decision.evidence.resolve</x:v>
      </x:c>
      <x:c r="H33" s="14" t="str">
        <x:v>Sob demanda</x:v>
      </x:c>
      <x:c r="I33" s="14" t="str">
        <x:v>Claude</x:v>
      </x:c>
      <x:c r="J33" s="14" t="str">
        <x:v>Crítica</x:v>
      </x:c>
      <x:c r="K33" s="14" t="str">
        <x:v>Arquiteto / Morpheus / PO quando crítico.</x:v>
      </x:c>
      <x:c r="L33" s="14" t="str">
        <x:v>Architect (MIT) — AST/Tree-sitter/Repo Intelligence | oh-my-claudecode (MIT) — multiagentes/jobs/skills/router | Hermes — patterns; validar licença por versão</x:v>
      </x:c>
      <x:c r="M33"/>
    </x:row>
    <x:row r="34" ht="44" customHeight="1">
      <x:c r="A34" s="14" t="str">
        <x:v>01a0e473-f607-777c-b4f3-12b3cc967d29</x:v>
      </x:c>
      <x:c r="B34" s="14" t="n">
        <x:v>7</x:v>
      </x:c>
      <x:c r="C34" s="14" t="str">
        <x:v>Chaveiro</x:v>
      </x:c>
      <x:c r="D34" s="14" t="str">
        <x:v>Engenharia &amp; Arquitetura</x:v>
      </x:c>
      <x:c r="E34" s="14" t="str">
        <x:v>Agente de contratos</x:v>
      </x:c>
      <x:c r="F34" s="14" t="str">
        <x:v>F15 Skill Runtime + Memory/Context Engine | F16 Scheduler + Background Jobs | F17 Checkpoint + Rollback | F18 MCP + LSP Runtime | F19 Repo Intelligence / Tree-sitter | F22 Device Nodes | F23 Secret &amp; Credential Broker</x:v>
      </x:c>
      <x:c r="G34" s="14" t="str">
        <x:v>contract.schema.define</x:v>
      </x:c>
      <x:c r="H34" s="14" t="str">
        <x:v>Sob demanda</x:v>
      </x:c>
      <x:c r="I34" s="14" t="str">
        <x:v>Codex/Claude</x:v>
      </x:c>
      <x:c r="J34" s="14" t="str">
        <x:v>Alta</x:v>
      </x:c>
      <x:c r="K34" s="14" t="str">
        <x:v>Johnson / Integration Test.</x:v>
      </x:c>
      <x:c r="L34" s="14" t="str">
        <x:v>Architect (MIT) — AST/Tree-sitter/Repo Intelligence | oh-my-claudecode (MIT) — multiagentes/jobs/skills/router | Hermes — patterns; validar licença por versão</x:v>
      </x:c>
      <x:c r="M34"/>
    </x:row>
    <x:row r="35" ht="44" customHeight="1">
      <x:c r="A35" s="14" t="str">
        <x:v>01a0e473-f608-7dd4-af8f-1c71de446420</x:v>
      </x:c>
      <x:c r="B35" s="14" t="n">
        <x:v>8</x:v>
      </x:c>
      <x:c r="C35" s="14" t="str">
        <x:v>Johnson</x:v>
      </x:c>
      <x:c r="D35" s="14" t="str">
        <x:v>Engenharia &amp; Arquitetura</x:v>
      </x:c>
      <x:c r="E35" s="14" t="str">
        <x:v>Agente implementador</x:v>
      </x:c>
      <x:c r="F35" s="14" t="str">
        <x:v>F15 Skill Runtime + Memory/Context Engine | F18 MCP + LSP Runtime | F19 Repo Intelligence / Tree-sitter | F22 Device Nodes</x:v>
      </x:c>
      <x:c r="G35" s="14" t="str">
        <x:v>code.implement</x:v>
      </x:c>
      <x:c r="H35" s="14" t="str">
        <x:v>Sob demanda</x:v>
      </x:c>
      <x:c r="I35" s="14" t="str">
        <x:v>Codex</x:v>
      </x:c>
      <x:c r="J35" s="14" t="str">
        <x:v>Alta</x:v>
      </x:c>
      <x:c r="K35" s="14" t="str">
        <x:v>Jones.</x:v>
      </x:c>
      <x:c r="L35" s="14" t="str">
        <x:v>Architect (MIT) — AST/Tree-sitter/Repo Intelligence | oh-my-claudecode (MIT) — multiagentes/jobs/skills/router | Hermes — patterns; validar licença por versão</x:v>
      </x:c>
      <x:c r="M35"/>
    </x:row>
    <x:row r="36" ht="44" customHeight="1">
      <x:c r="A36" s="14" t="str">
        <x:v>01a0e473-f609-7168-9146-d774a9be6740</x:v>
      </x:c>
      <x:c r="B36" s="14" t="n">
        <x:v>9</x:v>
      </x:c>
      <x:c r="C36" s="14" t="str">
        <x:v>Smith</x:v>
      </x:c>
      <x:c r="D36" s="14" t="str">
        <x:v>Engenharia &amp; Arquitetura</x:v>
      </x:c>
      <x:c r="E36" s="14" t="str">
        <x:v>Agente de propagação</x:v>
      </x:c>
      <x:c r="F36" s="14" t="str">
        <x:v>F15 Skill Runtime + Memory/Context Engine | F19 Repo Intelligence / Tree-sitter | F22 Device Nodes</x:v>
      </x:c>
      <x:c r="G36" s="14" t="str">
        <x:v>code.refactor.bulk</x:v>
      </x:c>
      <x:c r="H36" s="14" t="str">
        <x:v>Sob demanda</x:v>
      </x:c>
      <x:c r="I36" s="14" t="str">
        <x:v>Codex/Ollama</x:v>
      </x:c>
      <x:c r="J36" s="14" t="str">
        <x:v>Média</x:v>
      </x:c>
      <x:c r="K36" s="14" t="str">
        <x:v>Jones / QA2.</x:v>
      </x:c>
      <x:c r="L36" s="14" t="str">
        <x:v>Architect (MIT) — AST/Tree-sitter/Repo Intelligence | oh-my-claudecode (MIT) — multiagentes/jobs/skills/router | Hermes — patterns; validar licença por versão</x:v>
      </x:c>
      <x:c r="M36"/>
    </x:row>
    <x:row r="37" ht="44" customHeight="1">
      <x:c r="A37" s="14" t="str">
        <x:v>01a0e473-f60a-7901-a95b-af0de0b5123c</x:v>
      </x:c>
      <x:c r="B37" s="14" t="n">
        <x:v>10</x:v>
      </x:c>
      <x:c r="C37" s="14" t="str">
        <x:v>Brown</x:v>
      </x:c>
      <x:c r="D37" s="14" t="str">
        <x:v>Engenharia &amp; Arquitetura</x:v>
      </x:c>
      <x:c r="E37" s="14" t="str">
        <x:v>Agente de investigação</x:v>
      </x:c>
      <x:c r="F37" s="14" t="str">
        <x:v>F15 Skill Runtime + Memory/Context Engine | F18 MCP + LSP Runtime | F19 Repo Intelligence / Tree-sitter | F22 Device Nodes | F25 Knowledge / Evidence Graph</x:v>
      </x:c>
      <x:c r="G37" s="14" t="str">
        <x:v>debug.root_cause</x:v>
      </x:c>
      <x:c r="H37" s="14" t="str">
        <x:v>Sob demanda</x:v>
      </x:c>
      <x:c r="I37" s="14" t="str">
        <x:v>Codex/Claude</x:v>
      </x:c>
      <x:c r="J37" s="14" t="str">
        <x:v>Alta</x:v>
      </x:c>
      <x:c r="K37" s="14" t="str">
        <x:v>Jones cria teste vermelho; depois Johnson.</x:v>
      </x:c>
      <x:c r="L37" s="14" t="str">
        <x:v>Architect (MIT) — AST/Tree-sitter/Repo Intelligence | oh-my-claudecode (MIT) — multiagentes/jobs/skills/router | Hermes — patterns; validar licença por versão</x:v>
      </x:c>
      <x:c r="M37"/>
    </x:row>
    <x:row r="38" ht="44" customHeight="1">
      <x:c r="A38" s="14" t="str">
        <x:v>01a0e473-f60b-796a-a1ff-a164537cd755</x:v>
      </x:c>
      <x:c r="B38" s="14" t="n">
        <x:v>11</x:v>
      </x:c>
      <x:c r="C38" s="14" t="str">
        <x:v>Jones</x:v>
      </x:c>
      <x:c r="D38" s="14" t="str">
        <x:v>Qualidade &amp; Provas</x:v>
      </x:c>
      <x:c r="E38" s="14" t="str">
        <x:v>Agente líder de testes</x:v>
      </x:c>
      <x:c r="F38" s="14" t="str">
        <x:v>F22 Device Nodes</x:v>
      </x:c>
      <x:c r="G38" s="14" t="str">
        <x:v>quality.test.orchestrate</x:v>
      </x:c>
      <x:c r="H38" s="14" t="str">
        <x:v>Sob demanda</x:v>
      </x:c>
      <x:c r="I38" s="14" t="str">
        <x:v>Codex/Ollama</x:v>
      </x:c>
      <x:c r="J38" s="14" t="str">
        <x:v>Alta</x:v>
      </x:c>
      <x:c r="K38" s="14" t="str">
        <x:v>Thompson / QA1.</x:v>
      </x:c>
      <x:c r="L38" s="14" t="str">
        <x:v>OpenClaw — gateway/nodes/channels; validar licença por versão | ZeroClaw — benchmark Rust/providers/tools</x:v>
      </x:c>
      <x:c r="M38"/>
    </x:row>
    <x:row r="39" ht="44" customHeight="1">
      <x:c r="A39" s="14" t="str">
        <x:v>01a0e473-f60c-7cce-90e3-302e5f81e9fa</x:v>
      </x:c>
      <x:c r="B39" s="14" t="n">
        <x:v>12</x:v>
      </x:c>
      <x:c r="C39" s="14" t="str">
        <x:v>Jackson</x:v>
      </x:c>
      <x:c r="D39" s="14" t="str">
        <x:v>Engenharia &amp; Arquitetura</x:v>
      </x:c>
      <x:c r="E39" s="14" t="str">
        <x:v>Agente de performance</x:v>
      </x:c>
      <x:c r="F39" s="14" t="str">
        <x:v>F15 Skill Runtime + Memory/Context Engine | F19 Repo Intelligence / Tree-sitter | F22 Device Nodes</x:v>
      </x:c>
      <x:c r="G39" s="14" t="str">
        <x:v>performance.profile</x:v>
      </x:c>
      <x:c r="H39" s="14" t="str">
        <x:v>Sob demanda</x:v>
      </x:c>
      <x:c r="I39" s="14" t="str">
        <x:v>Codex/Claude</x:v>
      </x:c>
      <x:c r="J39" s="14" t="str">
        <x:v>Alta</x:v>
      </x:c>
      <x:c r="K39" s="14" t="str">
        <x:v>Performance Test / QA2.</x:v>
      </x:c>
      <x:c r="L39" s="14" t="str">
        <x:v>Architect (MIT) — AST/Tree-sitter/Repo Intelligence | oh-my-claudecode (MIT) — multiagentes/jobs/skills/router | Hermes — patterns; validar licença por versão</x:v>
      </x:c>
      <x:c r="M39"/>
    </x:row>
    <x:row r="40" ht="44" customHeight="1">
      <x:c r="A40" s="14" t="str">
        <x:v>01a0e473-f60d-761f-b597-a103db46e3df</x:v>
      </x:c>
      <x:c r="B40" s="14" t="n">
        <x:v>13</x:v>
      </x:c>
      <x:c r="C40" s="14" t="str">
        <x:v>Thompson</x:v>
      </x:c>
      <x:c r="D40" s="14" t="str">
        <x:v>Segurança &amp; Compliance</x:v>
      </x:c>
      <x:c r="E40" s="14" t="str">
        <x:v>Agente de segurança de código</x:v>
      </x:c>
      <x:c r="F40" s="14" t="str">
        <x:v>F15 Skill Runtime + Memory/Context Engine | F23 Secret &amp; Credential Broker</x:v>
      </x:c>
      <x:c r="G40" s="14" t="str">
        <x:v>security.code.review</x:v>
      </x:c>
      <x:c r="H40" s="14" t="str">
        <x:v>Sob demanda</x:v>
      </x:c>
      <x:c r="I40" s="14" t="str">
        <x:v>Claude</x:v>
      </x:c>
      <x:c r="J40" s="14" t="str">
        <x:v>Crítica</x:v>
      </x:c>
      <x:c r="K40" s="14" t="str">
        <x:v>Perséfone / QA.</x:v>
      </x:c>
      <x:c r="L40" s="14" t="str">
        <x:v>oh-my-claudecode (MIT) — multiagentes/jobs/skills/router | Hermes — patterns; validar licença por versão | OpenClaw — gateway/nodes/channels; validar licença por versão</x:v>
      </x:c>
      <x:c r="M40"/>
    </x:row>
    <x:row r="41" ht="44" customHeight="1">
      <x:c r="A41" s="14" t="str">
        <x:v>01a0e473-f60e-7349-8ef7-425daf15e0ed</x:v>
      </x:c>
      <x:c r="B41" s="14" t="n">
        <x:v>14</x:v>
      </x:c>
      <x:c r="C41" s="14" t="str">
        <x:v>Trinity</x:v>
      </x:c>
      <x:c r="D41" s="14" t="str">
        <x:v>Engenharia &amp; Arquitetura</x:v>
      </x:c>
      <x:c r="E41" s="14" t="str">
        <x:v>Agente de integração crítica</x:v>
      </x:c>
      <x:c r="F41" s="14" t="str">
        <x:v>F15 Skill Runtime + Memory/Context Engine | F18 MCP + LSP Runtime | F19 Repo Intelligence / Tree-sitter | F22 Device Nodes | F25 Knowledge / Evidence Graph</x:v>
      </x:c>
      <x:c r="G41" s="14" t="str">
        <x:v>integration.critical</x:v>
      </x:c>
      <x:c r="H41" s="14" t="str">
        <x:v>Sob demanda</x:v>
      </x:c>
      <x:c r="I41" s="14" t="str">
        <x:v>Codex/Claude</x:v>
      </x:c>
      <x:c r="J41" s="14" t="str">
        <x:v>Crítica</x:v>
      </x:c>
      <x:c r="K41" s="14" t="str">
        <x:v>Jones/QA2/OPA.</x:v>
      </x:c>
      <x:c r="L41" s="14" t="str">
        <x:v>Architect (MIT) — AST/Tree-sitter/Repo Intelligence | oh-my-claudecode (MIT) — multiagentes/jobs/skills/router | Hermes — patterns; validar licença por versão</x:v>
      </x:c>
      <x:c r="M41"/>
    </x:row>
    <x:row r="42" ht="44" customHeight="1">
      <x:c r="A42" s="14" t="str">
        <x:v>01a0e473-f60f-7a87-bd13-b8cc594c0e63</x:v>
      </x:c>
      <x:c r="B42" s="14" t="n">
        <x:v>15</x:v>
      </x:c>
      <x:c r="C42" s="14" t="str">
        <x:v>Neo</x:v>
      </x:c>
      <x:c r="D42" s="14" t="str">
        <x:v>Engenharia &amp; Arquitetura</x:v>
      </x:c>
      <x:c r="E42" s="14" t="str">
        <x:v>Agente de resolução excepcional</x:v>
      </x:c>
      <x:c r="F42" s="14" t="str">
        <x:v>F15 Skill Runtime + Memory/Context Engine | F18 MCP + LSP Runtime | F19 Repo Intelligence / Tree-sitter | F21 Channel Gateway | F22 Device Nodes</x:v>
      </x:c>
      <x:c r="G42" s="14" t="str">
        <x:v>problem.exception.resolve</x:v>
      </x:c>
      <x:c r="H42" s="14" t="str">
        <x:v>Excepcional</x:v>
      </x:c>
      <x:c r="I42" s="14" t="str">
        <x:v>Modelo mais forte disponível</x:v>
      </x:c>
      <x:c r="J42" s="14" t="str">
        <x:v>Crítica</x:v>
      </x:c>
      <x:c r="K42" s="14" t="str">
        <x:v>Jones → Thompson → OPA → QA3.</x:v>
      </x:c>
      <x:c r="L42" s="14" t="str">
        <x:v>Architect (MIT) — AST/Tree-sitter/Repo Intelligence | oh-my-claudecode (MIT) — multiagentes/jobs/skills/router | Hermes — patterns; validar licença por versão</x:v>
      </x:c>
      <x:c r="M42"/>
    </x:row>
    <x:row r="43" ht="44" customHeight="1">
      <x:c r="A43" s="14" t="str">
        <x:v>01a0e473-f610-77ff-b82c-aaa004721899</x:v>
      </x:c>
      <x:c r="B43" s="14" t="n">
        <x:v>16</x:v>
      </x:c>
      <x:c r="C43" s="14" t="str">
        <x:v>Merovíngio</x:v>
      </x:c>
      <x:c r="D43" s="14" t="str">
        <x:v>Dados &amp; Integrações</x:v>
      </x:c>
      <x:c r="E43" s="14" t="str">
        <x:v>Agente de isolamento externo</x:v>
      </x:c>
      <x:c r="F43" s="14" t="str">
        <x:v>F15 Skill Runtime + Memory/Context Engine | F18 MCP + LSP Runtime | F19 Repo Intelligence / Tree-sitter | F21 Channel Gateway | F22 Device Nodes | F25 Knowledge / Evidence Graph</x:v>
      </x:c>
      <x:c r="G43" s="14" t="str">
        <x:v>legacy.vendor.isolate</x:v>
      </x:c>
      <x:c r="H43" s="14" t="str">
        <x:v>Sob demanda</x:v>
      </x:c>
      <x:c r="I43" s="14" t="str">
        <x:v>Codex/Claude</x:v>
      </x:c>
      <x:c r="J43" s="14" t="str">
        <x:v>Alta</x:v>
      </x:c>
      <x:c r="K43" s="14" t="str">
        <x:v>Integration/Compatibility.</x:v>
      </x:c>
      <x:c r="L43" s="14" t="str">
        <x:v>Architect (MIT) — AST/Tree-sitter/Repo Intelligence | oh-my-claudecode (MIT) — multiagentes/jobs/skills/router | Hermes — patterns; validar licença por versão</x:v>
      </x:c>
      <x:c r="M43"/>
    </x:row>
    <x:row r="44" ht="44" customHeight="1">
      <x:c r="A44" s="14" t="str">
        <x:v>01a0e473-f611-72bf-b507-5b0637df19bd</x:v>
      </x:c>
      <x:c r="B44" s="14" t="n">
        <x:v>17</x:v>
      </x:c>
      <x:c r="C44" s="14" t="str">
        <x:v>Perséfone</x:v>
      </x:c>
      <x:c r="D44" s="14" t="str">
        <x:v>Qualidade &amp; Provas</x:v>
      </x:c>
      <x:c r="E44" s="14" t="str">
        <x:v>Agente de verdade documental</x:v>
      </x:c>
      <x:c r="F44" s="14" t="str">
        <x:v>F15 Skill Runtime + Memory/Context Engine | F20 Team Runtime | F25 Knowledge / Evidence Graph</x:v>
      </x:c>
      <x:c r="G44" s="14" t="str">
        <x:v>documentation.truth.sync</x:v>
      </x:c>
      <x:c r="H44" s="14" t="str">
        <x:v>Sob demanda</x:v>
      </x:c>
      <x:c r="I44" s="14" t="str">
        <x:v>Ollama/Claude</x:v>
      </x:c>
      <x:c r="J44" s="14" t="str">
        <x:v>Alta</x:v>
      </x:c>
      <x:c r="K44" s="14" t="str">
        <x:v>Documentador / QA2.</x:v>
      </x:c>
      <x:c r="L44" s="14" t="str">
        <x:v>oh-my-claudecode (MIT) — multiagentes/jobs/skills/router | Hermes — patterns; validar licença por versão | ZeroClaw — benchmark Rust/providers/tools | Rust official + offline rust-docs snapshot</x:v>
      </x:c>
      <x:c r="M44"/>
    </x:row>
    <x:row r="45" ht="44" customHeight="1">
      <x:c r="A45" s="14" t="str">
        <x:v>01a0e473-f612-770e-83ad-6e25803412ba</x:v>
      </x:c>
      <x:c r="B45" s="14" t="n">
        <x:v>18</x:v>
      </x:c>
      <x:c r="C45" s="14" t="str">
        <x:v>Documentador</x:v>
      </x:c>
      <x:c r="D45" s="14" t="str">
        <x:v>Qualidade &amp; Provas</x:v>
      </x:c>
      <x:c r="E45" s="14" t="str">
        <x:v>Agente de documentação</x:v>
      </x:c>
      <x:c r="F45" s="14" t="str">
        <x:v>F15 Skill Runtime + Memory/Context Engine | F18 MCP + LSP Runtime | F22 Device Nodes | F25 Knowledge / Evidence Graph</x:v>
      </x:c>
      <x:c r="G45" s="14" t="str">
        <x:v>documentation.generate</x:v>
      </x:c>
      <x:c r="H45" s="14" t="str">
        <x:v>Sob demanda</x:v>
      </x:c>
      <x:c r="I45" s="14" t="str">
        <x:v>Ollama</x:v>
      </x:c>
      <x:c r="J45" s="14" t="str">
        <x:v>Média</x:v>
      </x:c>
      <x:c r="K45" s="14" t="str">
        <x:v>Documentation Gate / Release.</x:v>
      </x:c>
      <x:c r="L45" s="14" t="str">
        <x:v>oh-my-claudecode (MIT) — multiagentes/jobs/skills/router | Hermes — patterns; validar licença por versão | OpenClaw — gateway/nodes/channels; validar licença por versão | Rust official + offline rust-docs snapshot</x:v>
      </x:c>
      <x:c r="M45"/>
    </x:row>
    <x:row r="46" ht="44" customHeight="1">
      <x:c r="A46" s="14" t="str">
        <x:v>01a0e473-f613-790f-be14-88850e521c18</x:v>
      </x:c>
      <x:c r="B46" s="14" t="n">
        <x:v>19</x:v>
      </x:c>
      <x:c r="C46" s="14" t="str">
        <x:v>Research Lead / Pesquisador PDCA</x:v>
      </x:c>
      <x:c r="D46" s="14" t="str">
        <x:v>Pesquisa &amp; Inovação</x:v>
      </x:c>
      <x:c r="E46" s="14" t="str">
        <x:v>Agente líder de pesquisa</x:v>
      </x:c>
      <x:c r="F46" s="14" t="str">
        <x:v>F15 Skill Runtime + Memory/Context Engine | F19 Repo Intelligence / Tree-sitter | F22 Device Nodes | F24 Auto-learning + Skill Evolution | F25 Knowledge / Evidence Graph</x:v>
      </x:c>
      <x:c r="G46" s="14" t="str">
        <x:v>research.orchestrate</x:v>
      </x:c>
      <x:c r="H46" s="14" t="str">
        <x:v>Permanente</x:v>
      </x:c>
      <x:c r="I46" s="14" t="str">
        <x:v>Ollama/Claude</x:v>
      </x:c>
      <x:c r="J46" s="14" t="str">
        <x:v>Alta</x:v>
      </x:c>
      <x:c r="K46" s="14" t="str">
        <x:v>Hypothesis / Technology Harvest / Oráculo.</x:v>
      </x:c>
      <x:c r="L46" s="14" t="str">
        <x:v>Architect (MIT) — AST/Tree-sitter/Repo Intelligence | oh-my-claudecode (MIT) — multiagentes/jobs/skills/router | Hermes — patterns; validar licença por versão | Rust official + offline rust-docs snapshot</x:v>
      </x:c>
      <x:c r="M46"/>
    </x:row>
    <x:row r="47" ht="44" customHeight="1">
      <x:c r="A47" s="14" t="str">
        <x:v>01a0e473-f614-70da-9cfb-4151c4cb515b</x:v>
      </x:c>
      <x:c r="B47" s="14" t="n">
        <x:v>20</x:v>
      </x:c>
      <x:c r="C47" s="14" t="str">
        <x:v>Research Agent</x:v>
      </x:c>
      <x:c r="D47" s="14" t="str">
        <x:v>Pesquisa &amp; Inovação</x:v>
      </x:c>
      <x:c r="E47" s="14" t="str">
        <x:v>Subagente pesquisador</x:v>
      </x:c>
      <x:c r="F47" s="14" t="str">
        <x:v>F15 Skill Runtime + Memory/Context Engine | F17 Checkpoint + Rollback | F19 Repo Intelligence / Tree-sitter | F22 Device Nodes | F23 Secret &amp; Credential Broker | F24 Auto-learning + Skill Evolution | F25 Knowledge / Evidence Graph</x:v>
      </x:c>
      <x:c r="G47" s="14" t="str">
        <x:v>research.collect</x:v>
      </x:c>
      <x:c r="H47" s="14" t="str">
        <x:v>Sob demanda</x:v>
      </x:c>
      <x:c r="I47" s="14" t="str">
        <x:v>Ollama</x:v>
      </x:c>
      <x:c r="J47" s="14" t="str">
        <x:v>Média</x:v>
      </x:c>
      <x:c r="K47" s="14" t="str">
        <x:v>Research Lead / Hypothesis.</x:v>
      </x:c>
      <x:c r="L47" s="14" t="str">
        <x:v>Architect (MIT) — AST/Tree-sitter/Repo Intelligence | oh-my-claudecode (MIT) — multiagentes/jobs/skills/router | Hermes — patterns; validar licença por versão | Rust official + offline rust-docs snapshot</x:v>
      </x:c>
      <x:c r="M47"/>
    </x:row>
    <x:row r="48" ht="44" customHeight="1">
      <x:c r="A48" s="14" t="str">
        <x:v>01a0e473-f615-7bc6-b58e-ccc8c315be7a</x:v>
      </x:c>
      <x:c r="B48" s="14" t="n">
        <x:v>21</x:v>
      </x:c>
      <x:c r="C48" s="14" t="str">
        <x:v>Hypothesis Agent</x:v>
      </x:c>
      <x:c r="D48" s="14" t="str">
        <x:v>Pesquisa &amp; Inovação</x:v>
      </x:c>
      <x:c r="E48" s="14" t="str">
        <x:v>Agente de hipóteses</x:v>
      </x:c>
      <x:c r="F48" s="14" t="str">
        <x:v>F15 Skill Runtime + Memory/Context Engine | F22 Device Nodes | F24 Auto-learning + Skill Evolution</x:v>
      </x:c>
      <x:c r="G48" s="14" t="str">
        <x:v>hypothesis.formulate</x:v>
      </x:c>
      <x:c r="H48" s="14" t="str">
        <x:v>Permanente</x:v>
      </x:c>
      <x:c r="I48" s="14" t="str">
        <x:v>Ollama/Claude</x:v>
      </x:c>
      <x:c r="J48" s="14" t="str">
        <x:v>Alta</x:v>
      </x:c>
      <x:c r="K48" s="14" t="str">
        <x:v>Mouse/Potentials → OPA/Oráculo.</x:v>
      </x:c>
      <x:c r="L48" s="14" t="str">
        <x:v>oh-my-claudecode (MIT) — multiagentes/jobs/skills/router | Hermes — patterns; validar licença por versão | OpenClaw — gateway/nodes/channels; validar licença por versão</x:v>
      </x:c>
      <x:c r="M48"/>
    </x:row>
    <x:row r="49" ht="44" customHeight="1">
      <x:c r="A49" s="14" t="str">
        <x:v>01a0e473-f616-784f-9b36-65d7a686fd41</x:v>
      </x:c>
      <x:c r="B49" s="14" t="n">
        <x:v>22</x:v>
      </x:c>
      <x:c r="C49" s="14" t="str">
        <x:v>Technology Harvest</x:v>
      </x:c>
      <x:c r="D49" s="14" t="str">
        <x:v>Pesquisa &amp; Inovação</x:v>
      </x:c>
      <x:c r="E49" s="14" t="str">
        <x:v>Agente de colheita tecnológica</x:v>
      </x:c>
      <x:c r="F49" s="14" t="str">
        <x:v>F15 Skill Runtime + Memory/Context Engine | F19 Repo Intelligence / Tree-sitter | F22 Device Nodes | F23 Secret &amp; Credential Broker | F24 Auto-learning + Skill Evolution</x:v>
      </x:c>
      <x:c r="G49" s="14" t="str">
        <x:v>technology.harvest</x:v>
      </x:c>
      <x:c r="H49" s="14" t="str">
        <x:v>Permanente</x:v>
      </x:c>
      <x:c r="I49" s="14" t="str">
        <x:v>Ollama/Claude</x:v>
      </x:c>
      <x:c r="J49" s="14" t="str">
        <x:v>Alta</x:v>
      </x:c>
      <x:c r="K49" s="14" t="str">
        <x:v>Hypothesis / Arquiteto / Licensor.</x:v>
      </x:c>
      <x:c r="L49" s="14" t="str">
        <x:v>Architect (MIT) — AST/Tree-sitter/Repo Intelligence | oh-my-claudecode (MIT) — multiagentes/jobs/skills/router | Hermes — patterns; validar licença por versão</x:v>
      </x:c>
      <x:c r="M49"/>
    </x:row>
    <x:row r="50" ht="44" customHeight="1">
      <x:c r="A50" s="14" t="str">
        <x:v>01a0e473-f617-7985-8311-d75e0057d77c</x:v>
      </x:c>
      <x:c r="B50" s="14" t="n">
        <x:v>23</x:v>
      </x:c>
      <x:c r="C50" s="14" t="str">
        <x:v>Rust Evolution Agent</x:v>
      </x:c>
      <x:c r="D50" s="14" t="str">
        <x:v>Pesquisa &amp; Inovação</x:v>
      </x:c>
      <x:c r="E50" s="14" t="str">
        <x:v>Agente de evolução Rust</x:v>
      </x:c>
      <x:c r="F50" s="14" t="str">
        <x:v>F15 Skill Runtime + Memory/Context Engine | F18 MCP + LSP Runtime | F22 Device Nodes | F23 Secret &amp; Credential Broker</x:v>
      </x:c>
      <x:c r="G50" s="14" t="str">
        <x:v>technology.rust.evaluate</x:v>
      </x:c>
      <x:c r="H50" s="14" t="str">
        <x:v>Permanente</x:v>
      </x:c>
      <x:c r="I50" s="14" t="str">
        <x:v>Ollama/Codex</x:v>
      </x:c>
      <x:c r="J50" s="14" t="str">
        <x:v>Alta</x:v>
      </x:c>
      <x:c r="K50" s="14" t="str">
        <x:v>Versionador / Guardian / PhoenixRustCore.</x:v>
      </x:c>
      <x:c r="L50" s="14" t="str">
        <x:v>oh-my-claudecode (MIT) — multiagentes/jobs/skills/router | Hermes — patterns; validar licença por versão | OpenClaw — gateway/nodes/channels; validar licença por versão</x:v>
      </x:c>
      <x:c r="M50"/>
    </x:row>
    <x:row r="51" ht="44" customHeight="1">
      <x:c r="A51" s="14" t="str">
        <x:v>01a0e473-f618-7e89-ae35-cbefc100260c</x:v>
      </x:c>
      <x:c r="B51" s="14" t="n">
        <x:v>24</x:v>
      </x:c>
      <x:c r="C51" s="14" t="str">
        <x:v>WASM Evolution Agent</x:v>
      </x:c>
      <x:c r="D51" s="14" t="str">
        <x:v>Pesquisa &amp; Inovação</x:v>
      </x:c>
      <x:c r="E51" s="14" t="str">
        <x:v>Agente de evolução WASM</x:v>
      </x:c>
      <x:c r="F51" s="14" t="str">
        <x:v>F15 Skill Runtime + Memory/Context Engine | F19 Repo Intelligence / Tree-sitter | F22 Device Nodes</x:v>
      </x:c>
      <x:c r="G51" s="14" t="str">
        <x:v>technology.wasm.evaluate</x:v>
      </x:c>
      <x:c r="H51" s="14" t="str">
        <x:v>Permanente</x:v>
      </x:c>
      <x:c r="I51" s="14" t="str">
        <x:v>Ollama/Codex</x:v>
      </x:c>
      <x:c r="J51" s="14" t="str">
        <x:v>Alta</x:v>
      </x:c>
      <x:c r="K51" s="14" t="str">
        <x:v>Compiler/WASM tests/Versionador.</x:v>
      </x:c>
      <x:c r="L51" s="14" t="str">
        <x:v>Architect (MIT) — AST/Tree-sitter/Repo Intelligence | oh-my-claudecode (MIT) — multiagentes/jobs/skills/router | Hermes — patterns; validar licença por versão</x:v>
      </x:c>
      <x:c r="M51"/>
    </x:row>
    <x:row r="52" ht="44" customHeight="1">
      <x:c r="A52" s="14" t="str">
        <x:v>01a0e473-f619-7298-be0c-c694efd0637c</x:v>
      </x:c>
      <x:c r="B52" s="14" t="n">
        <x:v>25</x:v>
      </x:c>
      <x:c r="C52" s="14" t="str">
        <x:v>WebGPU/GPU Agent</x:v>
      </x:c>
      <x:c r="D52" s="14" t="str">
        <x:v>Engenharia &amp; Arquitetura</x:v>
      </x:c>
      <x:c r="E52" s="14" t="str">
        <x:v>Agente de GPU</x:v>
      </x:c>
      <x:c r="F52" s="14" t="str">
        <x:v>F15 Skill Runtime + Memory/Context Engine | F19 Repo Intelligence / Tree-sitter | F22 Device Nodes</x:v>
      </x:c>
      <x:c r="G52" s="14" t="str">
        <x:v>gpu.webgpu.evaluate</x:v>
      </x:c>
      <x:c r="H52" s="14" t="str">
        <x:v>Sob demanda</x:v>
      </x:c>
      <x:c r="I52" s="14" t="str">
        <x:v>Codex</x:v>
      </x:c>
      <x:c r="J52" s="14" t="str">
        <x:v>Alta</x:v>
      </x:c>
      <x:c r="K52" s="14" t="str">
        <x:v>Performance/Compatibility/QA2.</x:v>
      </x:c>
      <x:c r="L52" s="14" t="str">
        <x:v>Architect (MIT) — AST/Tree-sitter/Repo Intelligence | oh-my-claudecode (MIT) — multiagentes/jobs/skills/router | Hermes — patterns; validar licença por versão</x:v>
      </x:c>
      <x:c r="M52"/>
    </x:row>
    <x:row r="53" ht="44" customHeight="1">
      <x:c r="A53" s="14" t="str">
        <x:v>01a0e473-f61a-75e5-a700-82b23d956190</x:v>
      </x:c>
      <x:c r="B53" s="14" t="n">
        <x:v>26</x:v>
      </x:c>
      <x:c r="C53" s="14" t="str">
        <x:v>PhoenixRustCore Agent</x:v>
      </x:c>
      <x:c r="D53" s="14" t="str">
        <x:v>Engenharia &amp; Arquitetura</x:v>
      </x:c>
      <x:c r="E53" s="14" t="str">
        <x:v>Agente do núcleo Rust</x:v>
      </x:c>
      <x:c r="F53" s="14" t="str">
        <x:v>F15 Skill Runtime + Memory/Context Engine | F16 Scheduler + Background Jobs | F18 MCP + LSP Runtime | F19 Repo Intelligence / Tree-sitter | F22 Device Nodes</x:v>
      </x:c>
      <x:c r="G53" s="14" t="str">
        <x:v>core.rust.evolve</x:v>
      </x:c>
      <x:c r="H53" s="14" t="str">
        <x:v>Sob demanda</x:v>
      </x:c>
      <x:c r="I53" s="14" t="str">
        <x:v>Codex</x:v>
      </x:c>
      <x:c r="J53" s="14" t="str">
        <x:v>Crítica</x:v>
      </x:c>
      <x:c r="K53" s="14" t="str">
        <x:v>Rust Evolution / QA / Versionador.</x:v>
      </x:c>
      <x:c r="L53" s="14" t="str">
        <x:v>Architect (MIT) — AST/Tree-sitter/Repo Intelligence | oh-my-claudecode (MIT) — multiagentes/jobs/skills/router | Hermes — patterns; validar licença por versão</x:v>
      </x:c>
      <x:c r="M53"/>
    </x:row>
    <x:row r="54" ht="44" customHeight="1">
      <x:c r="A54" s="14" t="str">
        <x:v>01a0e473-f61b-7a18-bcb7-555a29859d43</x:v>
      </x:c>
      <x:c r="B54" s="14" t="n">
        <x:v>27</x:v>
      </x:c>
      <x:c r="C54" s="14" t="str">
        <x:v>Compiler Agent</x:v>
      </x:c>
      <x:c r="D54" s="14" t="str">
        <x:v>Engenharia &amp; Arquitetura</x:v>
      </x:c>
      <x:c r="E54" s="14" t="str">
        <x:v>Agente de compilador</x:v>
      </x:c>
      <x:c r="F54" s="14" t="str">
        <x:v>F15 Skill Runtime + Memory/Context Engine | F18 MCP + LSP Runtime | F19 Repo Intelligence / Tree-sitter | F22 Device Nodes</x:v>
      </x:c>
      <x:c r="G54" s="14" t="str">
        <x:v>compiler.build</x:v>
      </x:c>
      <x:c r="H54" s="14" t="str">
        <x:v>Sob demanda</x:v>
      </x:c>
      <x:c r="I54" s="14" t="str">
        <x:v>Codex/Claude</x:v>
      </x:c>
      <x:c r="J54" s="14" t="str">
        <x:v>Crítica</x:v>
      </x:c>
      <x:c r="K54" s="14" t="str">
        <x:v>Phoenix IR / Fuzz / QA2.</x:v>
      </x:c>
      <x:c r="L54" s="14" t="str">
        <x:v>Architect (MIT) — AST/Tree-sitter/Repo Intelligence | oh-my-claudecode (MIT) — multiagentes/jobs/skills/router | Hermes — patterns; validar licença por versão</x:v>
      </x:c>
      <x:c r="M54"/>
    </x:row>
    <x:row r="55" ht="44" customHeight="1">
      <x:c r="A55" s="14" t="str">
        <x:v>01a0e473-f61c-76a6-9a24-862ff8ce3f31</x:v>
      </x:c>
      <x:c r="B55" s="14" t="n">
        <x:v>28</x:v>
      </x:c>
      <x:c r="C55" s="14" t="str">
        <x:v>Phoenix IR Agent</x:v>
      </x:c>
      <x:c r="D55" s="14" t="str">
        <x:v>Engenharia &amp; Arquitetura</x:v>
      </x:c>
      <x:c r="E55" s="14" t="str">
        <x:v>Agente de IR</x:v>
      </x:c>
      <x:c r="F55" s="14" t="str">
        <x:v>F15 Skill Runtime + Memory/Context Engine | F17 Checkpoint + Rollback | F19 Repo Intelligence / Tree-sitter | F22 Device Nodes | F25 Knowledge / Evidence Graph</x:v>
      </x:c>
      <x:c r="G55" s="14" t="str">
        <x:v>ir.transform</x:v>
      </x:c>
      <x:c r="H55" s="14" t="str">
        <x:v>Sob demanda</x:v>
      </x:c>
      <x:c r="I55" s="14" t="str">
        <x:v>Claude/Codex</x:v>
      </x:c>
      <x:c r="J55" s="14" t="str">
        <x:v>Crítica</x:v>
      </x:c>
      <x:c r="K55" s="14" t="str">
        <x:v>Compiler/Compatibility/Guardian.</x:v>
      </x:c>
      <x:c r="L55" s="14" t="str">
        <x:v>Architect (MIT) — AST/Tree-sitter/Repo Intelligence | oh-my-claudecode (MIT) — multiagentes/jobs/skills/router | Hermes — patterns; validar licença por versão</x:v>
      </x:c>
      <x:c r="M55"/>
    </x:row>
    <x:row r="56" ht="44" customHeight="1">
      <x:c r="A56" s="14" t="str">
        <x:v>01a0e473-f61d-7108-9296-72259235c74d</x:v>
      </x:c>
      <x:c r="B56" s="14" t="n">
        <x:v>29</x:v>
      </x:c>
      <x:c r="C56" s="14" t="str">
        <x:v>PHX JSON Agent</x:v>
      </x:c>
      <x:c r="D56" s="14" t="str">
        <x:v>Engenharia &amp; Arquitetura</x:v>
      </x:c>
      <x:c r="E56" s="14" t="str">
        <x:v>Agente de formato declarativo</x:v>
      </x:c>
      <x:c r="F56" s="14" t="str">
        <x:v>F15 Skill Runtime + Memory/Context Engine | F17 Checkpoint + Rollback | F19 Repo Intelligence / Tree-sitter | F22 Device Nodes</x:v>
      </x:c>
      <x:c r="G56" s="14" t="str">
        <x:v>format.phxjson.manage</x:v>
      </x:c>
      <x:c r="H56" s="14" t="str">
        <x:v>Sob demanda</x:v>
      </x:c>
      <x:c r="I56" s="14" t="str">
        <x:v>Codex</x:v>
      </x:c>
      <x:c r="J56" s="14" t="str">
        <x:v>Crítica</x:v>
      </x:c>
      <x:c r="K56" s="14" t="str">
        <x:v>Compatibility / QA.</x:v>
      </x:c>
      <x:c r="L56" s="14" t="str">
        <x:v>Architect (MIT) — AST/Tree-sitter/Repo Intelligence | oh-my-claudecode (MIT) — multiagentes/jobs/skills/router | Hermes — patterns; validar licença por versão</x:v>
      </x:c>
      <x:c r="M56"/>
    </x:row>
    <x:row r="57" ht="44" customHeight="1">
      <x:c r="A57" s="14" t="str">
        <x:v>01a0e473-f61e-7a08-af45-723fadfdbd38</x:v>
      </x:c>
      <x:c r="B57" s="14" t="n">
        <x:v>30</x:v>
      </x:c>
      <x:c r="C57" s="14" t="str">
        <x:v>UUIDv7 Guardian</x:v>
      </x:c>
      <x:c r="D57" s="14" t="str">
        <x:v>Segurança &amp; Compliance</x:v>
      </x:c>
      <x:c r="E57" s="14" t="str">
        <x:v>Guardião de identidade</x:v>
      </x:c>
      <x:c r="F57" s="14" t="str">
        <x:v>F22 Device Nodes | F23 Secret &amp; Credential Broker</x:v>
      </x:c>
      <x:c r="G57" s="14" t="str">
        <x:v>identity.uuidv7.guard</x:v>
      </x:c>
      <x:c r="H57" s="14" t="str">
        <x:v>Permanente</x:v>
      </x:c>
      <x:c r="I57" s="14" t="str">
        <x:v>Determinístico/Ollama</x:v>
      </x:c>
      <x:c r="J57" s="14" t="str">
        <x:v>Crítica</x:v>
      </x:c>
      <x:c r="K57" s="14" t="str">
        <x:v>PHX JSON/Template/Migration QA.</x:v>
      </x:c>
      <x:c r="L57" s="14" t="str">
        <x:v>Hermes — patterns; validar licença por versão | OpenClaw — gateway/nodes/channels; validar licença por versão | ZeroClaw — benchmark Rust/providers/tools</x:v>
      </x:c>
      <x:c r="M57"/>
    </x:row>
    <x:row r="58" ht="44" customHeight="1">
      <x:c r="A58" s="14" t="str">
        <x:v>01a0e473-f61f-706e-a43f-f39a2a424cc8</x:v>
      </x:c>
      <x:c r="B58" s="14" t="n">
        <x:v>31</x:v>
      </x:c>
      <x:c r="C58" s="14" t="str">
        <x:v>Template Engine Agent</x:v>
      </x:c>
      <x:c r="D58" s="14" t="str">
        <x:v>Engenharia &amp; Arquitetura</x:v>
      </x:c>
      <x:c r="E58" s="14" t="str">
        <x:v>Agente de templates</x:v>
      </x:c>
      <x:c r="F58" s="14" t="str">
        <x:v>F15 Skill Runtime + Memory/Context Engine | F17 Checkpoint + Rollback | F19 Repo Intelligence / Tree-sitter | F22 Device Nodes</x:v>
      </x:c>
      <x:c r="G58" s="14" t="str">
        <x:v>template.manage</x:v>
      </x:c>
      <x:c r="H58" s="14" t="str">
        <x:v>Sob demanda</x:v>
      </x:c>
      <x:c r="I58" s="14" t="str">
        <x:v>Codex</x:v>
      </x:c>
      <x:c r="J58" s="14" t="str">
        <x:v>Crítica</x:v>
      </x:c>
      <x:c r="K58" s="14" t="str">
        <x:v>OPA/Regression/Compatibility.</x:v>
      </x:c>
      <x:c r="L58" s="14" t="str">
        <x:v>Architect (MIT) — AST/Tree-sitter/Repo Intelligence | oh-my-claudecode (MIT) — multiagentes/jobs/skills/router | Hermes — patterns; validar licença por versão</x:v>
      </x:c>
      <x:c r="M58"/>
    </x:row>
    <x:row r="59" ht="44" customHeight="1">
      <x:c r="A59" s="14" t="str">
        <x:v>01a0e473-f620-7533-9bea-64a668b0ee29</x:v>
      </x:c>
      <x:c r="B59" s="14" t="n">
        <x:v>32</x:v>
      </x:c>
      <x:c r="C59" s="14" t="str">
        <x:v>Event/Command Agent</x:v>
      </x:c>
      <x:c r="D59" s="14" t="str">
        <x:v>Engenharia &amp; Arquitetura</x:v>
      </x:c>
      <x:c r="E59" s="14" t="str">
        <x:v>Agente de eventos/comandos</x:v>
      </x:c>
      <x:c r="F59" s="14" t="str">
        <x:v>F15 Skill Runtime + Memory/Context Engine | F16 Scheduler + Background Jobs | F19 Repo Intelligence / Tree-sitter | F22 Device Nodes | F25 Knowledge / Evidence Graph</x:v>
      </x:c>
      <x:c r="G59" s="14" t="str">
        <x:v>event.command.dispatch</x:v>
      </x:c>
      <x:c r="H59" s="14" t="str">
        <x:v>Sob demanda</x:v>
      </x:c>
      <x:c r="I59" s="14" t="str">
        <x:v>Codex</x:v>
      </x:c>
      <x:c r="J59" s="14" t="str">
        <x:v>Alta</x:v>
      </x:c>
      <x:c r="K59" s="14" t="str">
        <x:v>Reactive/Behavior/QA.</x:v>
      </x:c>
      <x:c r="L59" s="14" t="str">
        <x:v>Architect (MIT) — AST/Tree-sitter/Repo Intelligence | oh-my-claudecode (MIT) — multiagentes/jobs/skills/router | Hermes — patterns; validar licença por versão</x:v>
      </x:c>
      <x:c r="M59"/>
    </x:row>
    <x:row r="60" ht="44" customHeight="1">
      <x:c r="A60" s="14" t="str">
        <x:v>01a0e473-f621-76d1-b870-fd3b55c7c313</x:v>
      </x:c>
      <x:c r="B60" s="14" t="n">
        <x:v>33</x:v>
      </x:c>
      <x:c r="C60" s="14" t="str">
        <x:v>Reactive Agent</x:v>
      </x:c>
      <x:c r="D60" s="14" t="str">
        <x:v>Engenharia &amp; Arquitetura</x:v>
      </x:c>
      <x:c r="E60" s="14" t="str">
        <x:v>Agente reativo</x:v>
      </x:c>
      <x:c r="F60" s="14" t="str">
        <x:v>F15 Skill Runtime + Memory/Context Engine | F16 Scheduler + Background Jobs | F18 MCP + LSP Runtime | F19 Repo Intelligence / Tree-sitter | F22 Device Nodes</x:v>
      </x:c>
      <x:c r="G60" s="14" t="str">
        <x:v>runtime.reactive.handle</x:v>
      </x:c>
      <x:c r="H60" s="14" t="str">
        <x:v>Sob demanda</x:v>
      </x:c>
      <x:c r="I60" s="14" t="str">
        <x:v>Codex</x:v>
      </x:c>
      <x:c r="J60" s="14" t="str">
        <x:v>Alta</x:v>
      </x:c>
      <x:c r="K60" s="14" t="str">
        <x:v>UI/Performance/QA.</x:v>
      </x:c>
      <x:c r="L60" s="14" t="str">
        <x:v>Architect (MIT) — AST/Tree-sitter/Repo Intelligence | oh-my-claudecode (MIT) — multiagentes/jobs/skills/router | Hermes — patterns; validar licença por versão</x:v>
      </x:c>
      <x:c r="M60"/>
    </x:row>
    <x:row r="61" ht="44" customHeight="1">
      <x:c r="A61" s="14" t="str">
        <x:v>01a0e473-f622-7f3f-ae87-743175a5d8ea</x:v>
      </x:c>
      <x:c r="B61" s="14" t="n">
        <x:v>34</x:v>
      </x:c>
      <x:c r="C61" s="14" t="str">
        <x:v>UI/RAD Agent</x:v>
      </x:c>
      <x:c r="D61" s="14" t="str">
        <x:v>Creative Studio &amp; UX</x:v>
      </x:c>
      <x:c r="E61" s="14" t="str">
        <x:v>Agente de UI/RAD</x:v>
      </x:c>
      <x:c r="F61" s="14" t="str">
        <x:v>F18 MCP + LSP Runtime | F22 Device Nodes</x:v>
      </x:c>
      <x:c r="G61" s="14" t="str">
        <x:v>ui.rad.build</x:v>
      </x:c>
      <x:c r="H61" s="14" t="str">
        <x:v>Sob demanda</x:v>
      </x:c>
      <x:c r="I61" s="14" t="str">
        <x:v>Codex</x:v>
      </x:c>
      <x:c r="J61" s="14" t="str">
        <x:v>Alta</x:v>
      </x:c>
      <x:c r="K61" s="14" t="str">
        <x:v>Creative Studio → Accessibility → User Proof.</x:v>
      </x:c>
      <x:c r="L61" s="14" t="str">
        <x:v>OpenClaw — gateway/nodes/channels; validar licença por versão | ZeroClaw — benchmark Rust/providers/tools | Claw Code Rust — referência técnica/clean-room</x:v>
      </x:c>
      <x:c r="M61"/>
    </x:row>
    <x:row r="62" ht="44" customHeight="1">
      <x:c r="A62" s="14" t="str">
        <x:v>01a0e473-f623-7e37-91d5-fd9a71c267ad</x:v>
      </x:c>
      <x:c r="B62" s="14" t="n">
        <x:v>35</x:v>
      </x:c>
      <x:c r="C62" s="14" t="str">
        <x:v>Action/Media Agent</x:v>
      </x:c>
      <x:c r="D62" s="14" t="str">
        <x:v>Creative Studio &amp; UX</x:v>
      </x:c>
      <x:c r="E62" s="14" t="str">
        <x:v>Agente de mídia/ActionScript concepts</x:v>
      </x:c>
      <x:c r="F62" s="14" t="str">
        <x:v>F15 Skill Runtime + Memory/Context Engine | F18 MCP + LSP Runtime | F22 Device Nodes</x:v>
      </x:c>
      <x:c r="G62" s="14" t="str">
        <x:v>media.action.process</x:v>
      </x:c>
      <x:c r="H62" s="14" t="str">
        <x:v>Sob demanda</x:v>
      </x:c>
      <x:c r="I62" s="14" t="str">
        <x:v>Codex</x:v>
      </x:c>
      <x:c r="J62" s="14" t="str">
        <x:v>Alta</x:v>
      </x:c>
      <x:c r="K62" s="14" t="str">
        <x:v>GPU/WASM/QA visual.</x:v>
      </x:c>
      <x:c r="L62" s="14" t="str">
        <x:v>oh-my-claudecode (MIT) — multiagentes/jobs/skills/router | Hermes — patterns; validar licença por versão | OpenClaw — gateway/nodes/channels; validar licença por versão</x:v>
      </x:c>
      <x:c r="M62"/>
    </x:row>
    <x:row r="63" ht="44" customHeight="1">
      <x:c r="A63" s="14" t="str">
        <x:v>01a0e473-f624-7dc6-a802-a5b8d35664a9</x:v>
      </x:c>
      <x:c r="B63" s="14" t="n">
        <x:v>36</x:v>
      </x:c>
      <x:c r="C63" s="14" t="str">
        <x:v>Data Agent</x:v>
      </x:c>
      <x:c r="D63" s="14" t="str">
        <x:v>Dados &amp; Integrações</x:v>
      </x:c>
      <x:c r="E63" s="14" t="str">
        <x:v>Agente de dados</x:v>
      </x:c>
      <x:c r="F63" s="14" t="str">
        <x:v>F18 MCP + LSP Runtime | F19 Repo Intelligence / Tree-sitter | F21 Channel Gateway | F25 Knowledge / Evidence Graph</x:v>
      </x:c>
      <x:c r="G63" s="14" t="str">
        <x:v>data.model.manage</x:v>
      </x:c>
      <x:c r="H63" s="14" t="str">
        <x:v>Sob demanda</x:v>
      </x:c>
      <x:c r="I63" s="14" t="str">
        <x:v>Codex</x:v>
      </x:c>
      <x:c r="J63" s="14" t="str">
        <x:v>Alta</x:v>
      </x:c>
      <x:c r="K63" s="14" t="str">
        <x:v>PostgreSQL/Integration.</x:v>
      </x:c>
      <x:c r="L63" s="14" t="str">
        <x:v>Architect (MIT) — AST/Tree-sitter/Repo Intelligence | OpenClaw — gateway/nodes/channels; validar licença por versão | ZeroClaw — benchmark Rust/providers/tools</x:v>
      </x:c>
      <x:c r="M63"/>
    </x:row>
    <x:row r="64" ht="44" customHeight="1">
      <x:c r="A64" s="14" t="str">
        <x:v>01a0e473-f625-70a7-a3c0-51a2b0ec74c7</x:v>
      </x:c>
      <x:c r="B64" s="14" t="n">
        <x:v>37</x:v>
      </x:c>
      <x:c r="C64" s="14" t="str">
        <x:v>PostgreSQL Agent</x:v>
      </x:c>
      <x:c r="D64" s="14" t="str">
        <x:v>Dados &amp; Integrações</x:v>
      </x:c>
      <x:c r="E64" s="14" t="str">
        <x:v>Agente PostgreSQL</x:v>
      </x:c>
      <x:c r="F64" s="14" t="str">
        <x:v>F17 Checkpoint + Rollback | F18 MCP + LSP Runtime | F19 Repo Intelligence / Tree-sitter | F21 Channel Gateway | F25 Knowledge / Evidence Graph</x:v>
      </x:c>
      <x:c r="G64" s="14" t="str">
        <x:v>database.postgresql.operate</x:v>
      </x:c>
      <x:c r="H64" s="14" t="str">
        <x:v>Permanente</x:v>
      </x:c>
      <x:c r="I64" s="14" t="str">
        <x:v>Codex/Ollama</x:v>
      </x:c>
      <x:c r="J64" s="14" t="str">
        <x:v>Crítica</x:v>
      </x:c>
      <x:c r="K64" s="14" t="str">
        <x:v>Migration Guardian/Backup/QA.</x:v>
      </x:c>
      <x:c r="L64" s="14" t="str">
        <x:v>Architect (MIT) — AST/Tree-sitter/Repo Intelligence | Hermes — patterns; validar licença por versão | OpenClaw — gateway/nodes/channels; validar licença por versão</x:v>
      </x:c>
      <x:c r="M64"/>
    </x:row>
    <x:row r="65" ht="44" customHeight="1">
      <x:c r="A65" s="14" t="str">
        <x:v>01a0e473-f626-7e15-8998-5083b3ec2423</x:v>
      </x:c>
      <x:c r="B65" s="14" t="n">
        <x:v>38</x:v>
      </x:c>
      <x:c r="C65" s="14" t="str">
        <x:v>Octopus Agent</x:v>
      </x:c>
      <x:c r="D65" s="14" t="str">
        <x:v>Engenharia &amp; Arquitetura</x:v>
      </x:c>
      <x:c r="E65" s="14" t="str">
        <x:v>Agente de modernização</x:v>
      </x:c>
      <x:c r="F65" s="14" t="str">
        <x:v>F15 Skill Runtime + Memory/Context Engine | F17 Checkpoint + Rollback | F19 Repo Intelligence / Tree-sitter | F22 Device Nodes</x:v>
      </x:c>
      <x:c r="G65" s="14" t="str">
        <x:v>migration.legacy.modernize</x:v>
      </x:c>
      <x:c r="H65" s="14" t="str">
        <x:v>Sob demanda</x:v>
      </x:c>
      <x:c r="I65" s="14" t="str">
        <x:v>Codex/Claude</x:v>
      </x:c>
      <x:c r="J65" s="14" t="str">
        <x:v>Crítica</x:v>
      </x:c>
      <x:c r="K65" s="14" t="str">
        <x:v>Migration Guardian/Compatibility/OPA.</x:v>
      </x:c>
      <x:c r="L65" s="14" t="str">
        <x:v>Architect (MIT) — AST/Tree-sitter/Repo Intelligence | oh-my-claudecode (MIT) — multiagentes/jobs/skills/router | Hermes — patterns; validar licença por versão</x:v>
      </x:c>
      <x:c r="M65"/>
    </x:row>
    <x:row r="66" ht="44" customHeight="1">
      <x:c r="A66" s="14" t="str">
        <x:v>01a0e473-f627-75ee-a2ef-53a64bb8f06a</x:v>
      </x:c>
      <x:c r="B66" s="14" t="n">
        <x:v>39</x:v>
      </x:c>
      <x:c r="C66" s="14" t="str">
        <x:v>Localization / NSL Agent</x:v>
      </x:c>
      <x:c r="D66" s="14" t="str">
        <x:v>Dados &amp; Integrações</x:v>
      </x:c>
      <x:c r="E66" s="14" t="str">
        <x:v>Agente i18n/NSL</x:v>
      </x:c>
      <x:c r="F66" s="14" t="str">
        <x:v>F18 MCP + LSP Runtime | F21 Channel Gateway | F25 Knowledge / Evidence Graph</x:v>
      </x:c>
      <x:c r="G66" s="14" t="str">
        <x:v>i18n.localize</x:v>
      </x:c>
      <x:c r="H66" s="14" t="str">
        <x:v>Permanente</x:v>
      </x:c>
      <x:c r="I66" s="14" t="str">
        <x:v>Ollama</x:v>
      </x:c>
      <x:c r="J66" s="14" t="str">
        <x:v>Alta</x:v>
      </x:c>
      <x:c r="K66" s="14" t="str">
        <x:v>Accessibility/User Proof/QA.</x:v>
      </x:c>
      <x:c r="L66" s="14" t="str">
        <x:v>OpenClaw — gateway/nodes/channels; validar licença por versão | ZeroClaw — benchmark Rust/providers/tools | Claw Code Rust — referência técnica/clean-room</x:v>
      </x:c>
      <x:c r="M66"/>
    </x:row>
    <x:row r="67" ht="44" customHeight="1">
      <x:c r="A67" s="14" t="str">
        <x:v>01a0e473-f628-7932-8302-5aec809de110</x:v>
      </x:c>
      <x:c r="B67" s="14" t="n">
        <x:v>40</x:v>
      </x:c>
      <x:c r="C67" s="14" t="str">
        <x:v>Unit Test Agent</x:v>
      </x:c>
      <x:c r="D67" s="14" t="str">
        <x:v>Qualidade &amp; Provas</x:v>
      </x:c>
      <x:c r="E67" s="14" t="str">
        <x:v>Subagente de teste</x:v>
      </x:c>
      <x:c r="F67" s="14" t="str">
        <x:v>F15 Skill Runtime + Memory/Context Engine | F18 MCP + LSP Runtime</x:v>
      </x:c>
      <x:c r="G67" s="14" t="str">
        <x:v>quality.unit.test</x:v>
      </x:c>
      <x:c r="H67" s="14" t="str">
        <x:v>Sob demanda</x:v>
      </x:c>
      <x:c r="I67" s="14" t="str">
        <x:v>Ollama/Codex</x:v>
      </x:c>
      <x:c r="J67" s="14" t="str">
        <x:v>Média</x:v>
      </x:c>
      <x:c r="K67" s="14" t="str">
        <x:v>Jones / QA1.</x:v>
      </x:c>
      <x:c r="L67" s="14" t="str">
        <x:v>oh-my-claudecode (MIT) — multiagentes/jobs/skills/router | Hermes — patterns; validar licença por versão | ZeroClaw — benchmark Rust/providers/tools</x:v>
      </x:c>
      <x:c r="M67"/>
    </x:row>
    <x:row r="68" ht="44" customHeight="1">
      <x:c r="A68" s="14" t="str">
        <x:v>01a0e473-f629-769b-bb50-4313738edb4d</x:v>
      </x:c>
      <x:c r="B68" s="14" t="n">
        <x:v>41</x:v>
      </x:c>
      <x:c r="C68" s="14" t="str">
        <x:v>Integration Test Agent</x:v>
      </x:c>
      <x:c r="D68" s="14" t="str">
        <x:v>Qualidade &amp; Provas</x:v>
      </x:c>
      <x:c r="E68" s="14" t="str">
        <x:v>Subagente de teste</x:v>
      </x:c>
      <x:c r="F68" s="14" t="str">
        <x:v>F16 Scheduler + Background Jobs | F18 MCP + LSP Runtime | F21 Channel Gateway</x:v>
      </x:c>
      <x:c r="G68" s="14" t="str">
        <x:v>quality.integration.test</x:v>
      </x:c>
      <x:c r="H68" s="14" t="str">
        <x:v>Sob demanda</x:v>
      </x:c>
      <x:c r="I68" s="14" t="str">
        <x:v>Codex</x:v>
      </x:c>
      <x:c r="J68" s="14" t="str">
        <x:v>Alta</x:v>
      </x:c>
      <x:c r="K68" s="14" t="str">
        <x:v>QA2.</x:v>
      </x:c>
      <x:c r="L68" s="14" t="str">
        <x:v>oh-my-claudecode (MIT) — multiagentes/jobs/skills/router | Hermes — patterns; validar licença por versão | OpenClaw — gateway/nodes/channels; validar licença por versão</x:v>
      </x:c>
      <x:c r="M68"/>
    </x:row>
    <x:row r="69" ht="44" customHeight="1">
      <x:c r="A69" s="14" t="str">
        <x:v>01a0e473-f62a-7c4c-8c76-539596e38bd3</x:v>
      </x:c>
      <x:c r="B69" s="14" t="n">
        <x:v>42</x:v>
      </x:c>
      <x:c r="C69" s="14" t="str">
        <x:v>E2E Agent</x:v>
      </x:c>
      <x:c r="D69" s="14" t="str">
        <x:v>Qualidade &amp; Provas</x:v>
      </x:c>
      <x:c r="E69" s="14" t="str">
        <x:v>Subagente de teste</x:v>
      </x:c>
      <x:c r="F69" s="14" t="str">
        <x:v>F15 Skill Runtime + Memory/Context Engine | F22 Device Nodes</x:v>
      </x:c>
      <x:c r="G69" s="14" t="str">
        <x:v>quality.e2e.test</x:v>
      </x:c>
      <x:c r="H69" s="14" t="str">
        <x:v>Sob demanda</x:v>
      </x:c>
      <x:c r="I69" s="14" t="str">
        <x:v>Codex/Ollama</x:v>
      </x:c>
      <x:c r="J69" s="14" t="str">
        <x:v>Alta</x:v>
      </x:c>
      <x:c r="K69" s="14" t="str">
        <x:v>OPA/QA3.</x:v>
      </x:c>
      <x:c r="L69" s="14" t="str">
        <x:v>oh-my-claudecode (MIT) — multiagentes/jobs/skills/router | Hermes — patterns; validar licença por versão | OpenClaw — gateway/nodes/channels; validar licença por versão</x:v>
      </x:c>
      <x:c r="M69"/>
    </x:row>
    <x:row r="70" ht="44" customHeight="1">
      <x:c r="A70" s="14" t="str">
        <x:v>01a0e473-f62b-72ef-88da-f7c5dd2b33f9</x:v>
      </x:c>
      <x:c r="B70" s="14" t="n">
        <x:v>43</x:v>
      </x:c>
      <x:c r="C70" s="14" t="str">
        <x:v>Browser/WASM Test Agent</x:v>
      </x:c>
      <x:c r="D70" s="14" t="str">
        <x:v>Qualidade &amp; Provas</x:v>
      </x:c>
      <x:c r="E70" s="14" t="str">
        <x:v>Subagente de teste</x:v>
      </x:c>
      <x:c r="F70" s="14" t="str">
        <x:v>F17 Checkpoint + Rollback | F22 Device Nodes</x:v>
      </x:c>
      <x:c r="G70" s="14" t="str">
        <x:v>quality.browser_wasm.test</x:v>
      </x:c>
      <x:c r="H70" s="14" t="str">
        <x:v>Sob demanda</x:v>
      </x:c>
      <x:c r="I70" s="14" t="str">
        <x:v>Ollama/Codex</x:v>
      </x:c>
      <x:c r="J70" s="14" t="str">
        <x:v>Alta</x:v>
      </x:c>
      <x:c r="K70" s="14" t="str">
        <x:v>Compatibility/QA2.</x:v>
      </x:c>
      <x:c r="L70" s="14" t="str">
        <x:v>Hermes — patterns; validar licença por versão | OpenClaw — gateway/nodes/channels; validar licença por versão | ZeroClaw — benchmark Rust/providers/tools</x:v>
      </x:c>
      <x:c r="M70"/>
    </x:row>
    <x:row r="71" ht="44" customHeight="1">
      <x:c r="A71" s="14" t="str">
        <x:v>01a0e473-f62c-74a3-a753-db209bca4317</x:v>
      </x:c>
      <x:c r="B71" s="14" t="n">
        <x:v>44</x:v>
      </x:c>
      <x:c r="C71" s="14" t="str">
        <x:v>Regression Agent</x:v>
      </x:c>
      <x:c r="D71" s="14" t="str">
        <x:v>Qualidade &amp; Provas</x:v>
      </x:c>
      <x:c r="E71" s="14" t="str">
        <x:v>Subagente de teste</x:v>
      </x:c>
      <x:c r="F71" s="14" t="str">
        <x:v>F22 Device Nodes</x:v>
      </x:c>
      <x:c r="G71" s="14" t="str">
        <x:v>quality.regression.test</x:v>
      </x:c>
      <x:c r="H71" s="14" t="str">
        <x:v>Permanente</x:v>
      </x:c>
      <x:c r="I71" s="14" t="str">
        <x:v>Ollama</x:v>
      </x:c>
      <x:c r="J71" s="14" t="str">
        <x:v>Alta</x:v>
      </x:c>
      <x:c r="K71" s="14" t="str">
        <x:v>QA2/Release.</x:v>
      </x:c>
      <x:c r="L71" s="14" t="str">
        <x:v>OpenClaw — gateway/nodes/channels; validar licença por versão | ZeroClaw — benchmark Rust/providers/tools</x:v>
      </x:c>
      <x:c r="M71"/>
    </x:row>
    <x:row r="72" ht="44" customHeight="1">
      <x:c r="A72" s="14" t="str">
        <x:v>01a0e473-f62d-7437-9b52-a3e942163219</x:v>
      </x:c>
      <x:c r="B72" s="14" t="n">
        <x:v>45</x:v>
      </x:c>
      <x:c r="C72" s="14" t="str">
        <x:v>Fuzz Agent</x:v>
      </x:c>
      <x:c r="D72" s="14" t="str">
        <x:v>Qualidade &amp; Provas</x:v>
      </x:c>
      <x:c r="E72" s="14" t="str">
        <x:v>Subagente de teste</x:v>
      </x:c>
      <x:c r="F72" s="14" t="str">
        <x:v>F15 Skill Runtime + Memory/Context Engine</x:v>
      </x:c>
      <x:c r="G72" s="14" t="str">
        <x:v>quality.fuzz.test</x:v>
      </x:c>
      <x:c r="H72" s="14" t="str">
        <x:v>Sob demanda</x:v>
      </x:c>
      <x:c r="I72" s="14" t="str">
        <x:v>Determinístico/Ollama</x:v>
      </x:c>
      <x:c r="J72" s="14" t="str">
        <x:v>Alta</x:v>
      </x:c>
      <x:c r="K72" s="14" t="str">
        <x:v>Brown/Jones/Security.</x:v>
      </x:c>
      <x:c r="L72" s="14" t="str">
        <x:v>oh-my-claudecode (MIT) — multiagentes/jobs/skills/router | Hermes — patterns; validar licença por versão</x:v>
      </x:c>
      <x:c r="M72"/>
    </x:row>
    <x:row r="73" ht="44" customHeight="1">
      <x:c r="A73" s="14" t="str">
        <x:v>01a0e473-f62e-76dd-9584-db8fba3cc8c4</x:v>
      </x:c>
      <x:c r="B73" s="14" t="n">
        <x:v>46</x:v>
      </x:c>
      <x:c r="C73" s="14" t="str">
        <x:v>Visual Regression Agent</x:v>
      </x:c>
      <x:c r="D73" s="14" t="str">
        <x:v>Qualidade &amp; Provas</x:v>
      </x:c>
      <x:c r="E73" s="14" t="str">
        <x:v>Subagente de teste</x:v>
      </x:c>
      <x:c r="F73" s="14" t="str">
        <x:v>F17 Checkpoint + Rollback</x:v>
      </x:c>
      <x:c r="G73" s="14" t="str">
        <x:v>quality.regression.test</x:v>
      </x:c>
      <x:c r="H73" s="14" t="str">
        <x:v>Sob demanda</x:v>
      </x:c>
      <x:c r="I73" s="14" t="str">
        <x:v>Ollama</x:v>
      </x:c>
      <x:c r="J73" s="14" t="str">
        <x:v>Média</x:v>
      </x:c>
      <x:c r="K73" s="14" t="str">
        <x:v>Creative/QA2.</x:v>
      </x:c>
      <x:c r="L73" s="14" t="str">
        <x:v>Hermes — patterns; validar licença por versão</x:v>
      </x:c>
      <x:c r="M73"/>
    </x:row>
    <x:row r="74" ht="44" customHeight="1">
      <x:c r="A74" s="14" t="str">
        <x:v>01a0e473-f62f-7ac4-bbff-acbe3d50586d</x:v>
      </x:c>
      <x:c r="B74" s="14" t="n">
        <x:v>47</x:v>
      </x:c>
      <x:c r="C74" s="14" t="str">
        <x:v>Performance Test Agent</x:v>
      </x:c>
      <x:c r="D74" s="14" t="str">
        <x:v>Qualidade &amp; Provas</x:v>
      </x:c>
      <x:c r="E74" s="14" t="str">
        <x:v>Subagente de teste</x:v>
      </x:c>
      <x:c r="F74" s="14" t="str">
        <x:v>F17 Checkpoint + Rollback</x:v>
      </x:c>
      <x:c r="G74" s="14" t="str">
        <x:v>quality.performance.test</x:v>
      </x:c>
      <x:c r="H74" s="14" t="str">
        <x:v>Sob demanda</x:v>
      </x:c>
      <x:c r="I74" s="14" t="str">
        <x:v>Determinístico/Ollama</x:v>
      </x:c>
      <x:c r="J74" s="14" t="str">
        <x:v>Alta</x:v>
      </x:c>
      <x:c r="K74" s="14" t="str">
        <x:v>Jackson/QA2.</x:v>
      </x:c>
      <x:c r="L74" s="14" t="str">
        <x:v>Hermes — patterns; validar licença por versão</x:v>
      </x:c>
      <x:c r="M74"/>
    </x:row>
    <x:row r="75" ht="44" customHeight="1">
      <x:c r="A75" s="14" t="str">
        <x:v>01a0e473-f630-7221-98bb-b391fe065545</x:v>
      </x:c>
      <x:c r="B75" s="14" t="n">
        <x:v>48</x:v>
      </x:c>
      <x:c r="C75" s="14" t="str">
        <x:v>Security Test Agent</x:v>
      </x:c>
      <x:c r="D75" s="14" t="str">
        <x:v>Qualidade &amp; Provas</x:v>
      </x:c>
      <x:c r="E75" s="14" t="str">
        <x:v>Subagente de teste</x:v>
      </x:c>
      <x:c r="F75" s="14" t="str">
        <x:v>F17 Checkpoint + Rollback | F22 Device Nodes | F23 Secret &amp; Credential Broker</x:v>
      </x:c>
      <x:c r="G75" s="14" t="str">
        <x:v>quality.security.test</x:v>
      </x:c>
      <x:c r="H75" s="14" t="str">
        <x:v>Sob demanda</x:v>
      </x:c>
      <x:c r="I75" s="14" t="str">
        <x:v>Claude/Codex</x:v>
      </x:c>
      <x:c r="J75" s="14" t="str">
        <x:v>Crítica</x:v>
      </x:c>
      <x:c r="K75" s="14" t="str">
        <x:v>Thompson/QA3.</x:v>
      </x:c>
      <x:c r="L75" s="14" t="str">
        <x:v>Hermes — patterns; validar licença por versão | OpenClaw — gateway/nodes/channels; validar licença por versão | ZeroClaw — benchmark Rust/providers/tools</x:v>
      </x:c>
      <x:c r="M75"/>
    </x:row>
    <x:row r="76" ht="44" customHeight="1">
      <x:c r="A76" s="14" t="str">
        <x:v>01a0e473-f631-7976-acb2-61b914cf23ae</x:v>
      </x:c>
      <x:c r="B76" s="14" t="n">
        <x:v>49</x:v>
      </x:c>
      <x:c r="C76" s="14" t="str">
        <x:v>Objective Proof Agent – OPA</x:v>
      </x:c>
      <x:c r="D76" s="14" t="str">
        <x:v>Qualidade &amp; Provas</x:v>
      </x:c>
      <x:c r="E76" s="14" t="str">
        <x:v>Agente avaliador de objetivo</x:v>
      </x:c>
      <x:c r="F76" s="14" t="str">
        <x:v>F15 Skill Runtime + Memory/Context Engine | F25 Knowledge / Evidence Graph</x:v>
      </x:c>
      <x:c r="G76" s="14" t="str">
        <x:v>objective.prove</x:v>
      </x:c>
      <x:c r="H76" s="14" t="str">
        <x:v>Sob demanda</x:v>
      </x:c>
      <x:c r="I76" s="14" t="str">
        <x:v>Claude/Codex</x:v>
      </x:c>
      <x:c r="J76" s="14" t="str">
        <x:v>Crítica</x:v>
      </x:c>
      <x:c r="K76" s="14" t="str">
        <x:v>QA3.</x:v>
      </x:c>
      <x:c r="L76" s="14" t="str">
        <x:v>oh-my-claudecode (MIT) — multiagentes/jobs/skills/router | Hermes — patterns; validar licença por versão</x:v>
      </x:c>
      <x:c r="M76"/>
    </x:row>
    <x:row r="77" ht="44" customHeight="1">
      <x:c r="A77" s="14" t="str">
        <x:v>01a0e473-f632-7358-9a30-45db2f4f7710</x:v>
      </x:c>
      <x:c r="B77" s="14" t="n">
        <x:v>50</x:v>
      </x:c>
      <x:c r="C77" s="14" t="str">
        <x:v>QA Nível 1</x:v>
      </x:c>
      <x:c r="D77" s="14" t="str">
        <x:v>Qualidade &amp; Provas</x:v>
      </x:c>
      <x:c r="E77" s="14" t="str">
        <x:v>Gate de qualidade</x:v>
      </x:c>
      <x:c r="F77" s="14" t="str">
        <x:v>F15 Skill Runtime + Memory/Context Engine | F20 Team Runtime | F25 Knowledge / Evidence Graph</x:v>
      </x:c>
      <x:c r="G77" s="14" t="str">
        <x:v>quality.gate.qa1</x:v>
      </x:c>
      <x:c r="H77" s="14" t="str">
        <x:v>Sob demanda</x:v>
      </x:c>
      <x:c r="I77" s="14" t="str">
        <x:v>Ollama/Claude</x:v>
      </x:c>
      <x:c r="J77" s="14" t="str">
        <x:v>Alta</x:v>
      </x:c>
      <x:c r="K77" s="14" t="str">
        <x:v>QA2.</x:v>
      </x:c>
      <x:c r="L77" s="14" t="str">
        <x:v>oh-my-claudecode (MIT) — multiagentes/jobs/skills/router | Hermes — patterns; validar licença por versão | ZeroClaw — benchmark Rust/providers/tools</x:v>
      </x:c>
      <x:c r="M77"/>
    </x:row>
    <x:row r="78" ht="44" customHeight="1">
      <x:c r="A78" s="14" t="str">
        <x:v>01a0e473-f633-7bb9-b8ee-90a4d9a45a4d</x:v>
      </x:c>
      <x:c r="B78" s="14" t="n">
        <x:v>51</x:v>
      </x:c>
      <x:c r="C78" s="14" t="str">
        <x:v>QA Nível 2</x:v>
      </x:c>
      <x:c r="D78" s="14" t="str">
        <x:v>Qualidade &amp; Provas</x:v>
      </x:c>
      <x:c r="E78" s="14" t="str">
        <x:v>Gate de integração</x:v>
      </x:c>
      <x:c r="F78" s="14" t="str">
        <x:v>F18 MCP + LSP Runtime | F19 Repo Intelligence / Tree-sitter | F20 Team Runtime | F25 Knowledge / Evidence Graph</x:v>
      </x:c>
      <x:c r="G78" s="14" t="str">
        <x:v>quality.gate.qa2</x:v>
      </x:c>
      <x:c r="H78" s="14" t="str">
        <x:v>Sob demanda</x:v>
      </x:c>
      <x:c r="I78" s="14" t="str">
        <x:v>Claude</x:v>
      </x:c>
      <x:c r="J78" s="14" t="str">
        <x:v>Crítica</x:v>
      </x:c>
      <x:c r="K78" s="14" t="str">
        <x:v>OPA.</x:v>
      </x:c>
      <x:c r="L78" s="14" t="str">
        <x:v>Architect (MIT) — AST/Tree-sitter/Repo Intelligence | oh-my-claudecode (MIT) — multiagentes/jobs/skills/router | ZeroClaw — benchmark Rust/providers/tools</x:v>
      </x:c>
      <x:c r="M78"/>
    </x:row>
    <x:row r="79" ht="44" customHeight="1">
      <x:c r="A79" s="14" t="str">
        <x:v>01a0e473-f634-742e-a532-1321918650db</x:v>
      </x:c>
      <x:c r="B79" s="14" t="n">
        <x:v>52</x:v>
      </x:c>
      <x:c r="C79" s="14" t="str">
        <x:v>QA Nível 3</x:v>
      </x:c>
      <x:c r="D79" s="14" t="str">
        <x:v>Qualidade &amp; Provas</x:v>
      </x:c>
      <x:c r="E79" s="14" t="str">
        <x:v>Gate final</x:v>
      </x:c>
      <x:c r="F79" s="14" t="str">
        <x:v>F15 Skill Runtime + Memory/Context Engine | F17 Checkpoint + Rollback | F19 Repo Intelligence / Tree-sitter | F20 Team Runtime | F22 Device Nodes | F23 Secret &amp; Credential Broker | F25 Knowledge / Evidence Graph</x:v>
      </x:c>
      <x:c r="G79" s="14" t="str">
        <x:v>quality.gate.qa3</x:v>
      </x:c>
      <x:c r="H79" s="14" t="str">
        <x:v>Sob demanda</x:v>
      </x:c>
      <x:c r="I79" s="14" t="str">
        <x:v>Claude</x:v>
      </x:c>
      <x:c r="J79" s="14" t="str">
        <x:v>Crítica</x:v>
      </x:c>
      <x:c r="K79" s="14" t="str">
        <x:v>Versionador/Release Manager ou retorno.</x:v>
      </x:c>
      <x:c r="L79" s="14" t="str">
        <x:v>Architect (MIT) — AST/Tree-sitter/Repo Intelligence | oh-my-claudecode (MIT) — multiagentes/jobs/skills/router | Hermes — patterns; validar licença por versão</x:v>
      </x:c>
      <x:c r="M79"/>
    </x:row>
    <x:row r="80" ht="44" customHeight="1">
      <x:c r="A80" s="14" t="str">
        <x:v>01a0e473-f635-7fb8-a692-79562cbd4ff6</x:v>
      </x:c>
      <x:c r="B80" s="14" t="n">
        <x:v>53</x:v>
      </x:c>
      <x:c r="C80" s="14" t="str">
        <x:v>Guardian</x:v>
      </x:c>
      <x:c r="D80" s="14" t="str">
        <x:v>Segurança &amp; Compliance</x:v>
      </x:c>
      <x:c r="E80" s="14" t="str">
        <x:v>Guardião constitucional</x:v>
      </x:c>
      <x:c r="F80" s="14" t="str">
        <x:v>F19 Repo Intelligence / Tree-sitter | F20 Team Runtime | F22 Device Nodes | F23 Secret &amp; Credential Broker</x:v>
      </x:c>
      <x:c r="G80" s="14" t="str">
        <x:v>governance.constitution.enforce</x:v>
      </x:c>
      <x:c r="H80" s="14" t="str">
        <x:v>Permanente</x:v>
      </x:c>
      <x:c r="I80" s="14" t="str">
        <x:v>Determinístico/Claude</x:v>
      </x:c>
      <x:c r="J80" s="14" t="str">
        <x:v>Crítica</x:v>
      </x:c>
      <x:c r="K80" s="14" t="str">
        <x:v>Arquiteto/PO/QA3.</x:v>
      </x:c>
      <x:c r="L80" s="14" t="str">
        <x:v>Architect (MIT) — AST/Tree-sitter/Repo Intelligence | oh-my-claudecode (MIT) — multiagentes/jobs/skills/router | Hermes — patterns; validar licença por versão</x:v>
      </x:c>
      <x:c r="M80"/>
    </x:row>
    <x:row r="81" ht="44" customHeight="1">
      <x:c r="A81" s="14" t="str">
        <x:v>01a0e473-f636-71b9-8133-865389aee00d</x:v>
      </x:c>
      <x:c r="B81" s="14" t="n">
        <x:v>54</x:v>
      </x:c>
      <x:c r="C81" s="14" t="str">
        <x:v>Goal Drift Detector</x:v>
      </x:c>
      <x:c r="D81" s="14" t="str">
        <x:v>Governança &amp; Estratégia</x:v>
      </x:c>
      <x:c r="E81" s="14" t="str">
        <x:v>Agente de alinhamento</x:v>
      </x:c>
      <x:c r="F81" s="14" t="str">
        <x:v>F15 Skill Runtime + Memory/Context Engine | F20 Team Runtime | F22 Device Nodes</x:v>
      </x:c>
      <x:c r="G81" s="14" t="str">
        <x:v>goal.drift.detect</x:v>
      </x:c>
      <x:c r="H81" s="14" t="str">
        <x:v>Permanente</x:v>
      </x:c>
      <x:c r="I81" s="14" t="str">
        <x:v>Ollama</x:v>
      </x:c>
      <x:c r="J81" s="14" t="str">
        <x:v>Alta</x:v>
      </x:c>
      <x:c r="K81" s="14" t="str">
        <x:v>Morpheus/Analista/QA3.</x:v>
      </x:c>
      <x:c r="L81" s="14" t="str">
        <x:v>oh-my-claudecode (MIT) — multiagentes/jobs/skills/router | Hermes — patterns; validar licença por versão | OpenClaw — gateway/nodes/channels; validar licença por versão</x:v>
      </x:c>
      <x:c r="M81"/>
    </x:row>
    <x:row r="82" ht="44" customHeight="1">
      <x:c r="A82" s="14" t="str">
        <x:v>01a0e473-f637-7194-be89-ecefe3390927</x:v>
      </x:c>
      <x:c r="B82" s="14" t="n">
        <x:v>55</x:v>
      </x:c>
      <x:c r="C82" s="14" t="str">
        <x:v>Versionador</x:v>
      </x:c>
      <x:c r="D82" s="14" t="str">
        <x:v>Operações &amp; Infraestrutura</x:v>
      </x:c>
      <x:c r="E82" s="14" t="str">
        <x:v>Agente de versionamento</x:v>
      </x:c>
      <x:c r="F82" s="14" t="str">
        <x:v>F15 Skill Runtime + Memory/Context Engine | F17 Checkpoint + Rollback | F18 MCP + LSP Runtime | F19 Repo Intelligence / Tree-sitter | F22 Device Nodes</x:v>
      </x:c>
      <x:c r="G82" s="14" t="str">
        <x:v>version.semver.manage</x:v>
      </x:c>
      <x:c r="H82" s="14" t="str">
        <x:v>Sob demanda</x:v>
      </x:c>
      <x:c r="I82" s="14" t="str">
        <x:v>Ollama</x:v>
      </x:c>
      <x:c r="J82" s="14" t="str">
        <x:v>Alta</x:v>
      </x:c>
      <x:c r="K82" s="14" t="str">
        <x:v>Release Manager.</x:v>
      </x:c>
      <x:c r="L82" s="14" t="str">
        <x:v>Architect (MIT) — AST/Tree-sitter/Repo Intelligence | oh-my-claudecode (MIT) — multiagentes/jobs/skills/router | Hermes — patterns; validar licença por versão</x:v>
      </x:c>
      <x:c r="M82"/>
    </x:row>
    <x:row r="83" ht="44" customHeight="1">
      <x:c r="A83" s="14" t="str">
        <x:v>01a0e473-f638-7c91-8f60-c7841a86639f</x:v>
      </x:c>
      <x:c r="B83" s="14" t="n">
        <x:v>56</x:v>
      </x:c>
      <x:c r="C83" s="14" t="str">
        <x:v>Release Manager</x:v>
      </x:c>
      <x:c r="D83" s="14" t="str">
        <x:v>Operações &amp; Infraestrutura</x:v>
      </x:c>
      <x:c r="E83" s="14" t="str">
        <x:v>Agente de release</x:v>
      </x:c>
      <x:c r="F83" s="14" t="str">
        <x:v>F17 Checkpoint + Rollback | F19 Repo Intelligence / Tree-sitter | F22 Device Nodes</x:v>
      </x:c>
      <x:c r="G83" s="14" t="str">
        <x:v>release.promote</x:v>
      </x:c>
      <x:c r="H83" s="14" t="str">
        <x:v>Sob demanda</x:v>
      </x:c>
      <x:c r="I83" s="14" t="str">
        <x:v>Ollama/Claude</x:v>
      </x:c>
      <x:c r="J83" s="14" t="str">
        <x:v>Crítica</x:v>
      </x:c>
      <x:c r="K83" s="14" t="str">
        <x:v>Observability/Operations.</x:v>
      </x:c>
      <x:c r="L83" s="14" t="str">
        <x:v>Architect (MIT) — AST/Tree-sitter/Repo Intelligence | Hermes — patterns; validar licença por versão | OpenClaw — gateway/nodes/channels; validar licença por versão</x:v>
      </x:c>
      <x:c r="M83"/>
    </x:row>
    <x:row r="84" ht="44" customHeight="1">
      <x:c r="A84" s="14" t="str">
        <x:v>01a0e473-f639-7ee3-b4bd-658857368ae7</x:v>
      </x:c>
      <x:c r="B84" s="14" t="n">
        <x:v>57</x:v>
      </x:c>
      <x:c r="C84" s="14" t="str">
        <x:v>Reproducible Build Agent</x:v>
      </x:c>
      <x:c r="D84" s="14" t="str">
        <x:v>Operações &amp; Infraestrutura</x:v>
      </x:c>
      <x:c r="E84" s="14" t="str">
        <x:v>Agente de build reproduzível</x:v>
      </x:c>
      <x:c r="F84" s="14" t="str">
        <x:v>F17 Checkpoint + Rollback | F18 MCP + LSP Runtime | F22 Device Nodes</x:v>
      </x:c>
      <x:c r="G84" s="14" t="str">
        <x:v>build.reproducible</x:v>
      </x:c>
      <x:c r="H84" s="14" t="str">
        <x:v>Sob demanda</x:v>
      </x:c>
      <x:c r="I84" s="14" t="str">
        <x:v>Determinístico/Ollama</x:v>
      </x:c>
      <x:c r="J84" s="14" t="str">
        <x:v>Alta</x:v>
      </x:c>
      <x:c r="K84" s="14" t="str">
        <x:v>QA3/Release.</x:v>
      </x:c>
      <x:c r="L84" s="14" t="str">
        <x:v>Hermes — patterns; validar licença por versão | OpenClaw — gateway/nodes/channels; validar licença por versão | ZeroClaw — benchmark Rust/providers/tools</x:v>
      </x:c>
      <x:c r="M84"/>
    </x:row>
    <x:row r="85" ht="44" customHeight="1">
      <x:c r="A85" s="14" t="str">
        <x:v>01a0e473-f63a-729d-91a1-22d4866232f0</x:v>
      </x:c>
      <x:c r="B85" s="14" t="n">
        <x:v>58</x:v>
      </x:c>
      <x:c r="C85" s="14" t="str">
        <x:v>Backup Agent</x:v>
      </x:c>
      <x:c r="D85" s="14" t="str">
        <x:v>Operações &amp; Infraestrutura</x:v>
      </x:c>
      <x:c r="E85" s="14" t="str">
        <x:v>Agente de backup</x:v>
      </x:c>
      <x:c r="F85" s="14" t="str">
        <x:v>F17 Checkpoint + Rollback | F22 Device Nodes</x:v>
      </x:c>
      <x:c r="G85" s="14" t="str">
        <x:v>checkpoint.backup.create</x:v>
      </x:c>
      <x:c r="H85" s="14" t="str">
        <x:v>Permanente</x:v>
      </x:c>
      <x:c r="I85" s="14" t="str">
        <x:v>Determinístico/Ollama</x:v>
      </x:c>
      <x:c r="J85" s="14" t="str">
        <x:v>Crítica</x:v>
      </x:c>
      <x:c r="K85" s="14" t="str">
        <x:v>Restore Agent.</x:v>
      </x:c>
      <x:c r="L85" s="14" t="str">
        <x:v>Hermes — patterns; validar licença por versão | OpenClaw — gateway/nodes/channels; validar licença por versão | ZeroClaw — benchmark Rust/providers/tools</x:v>
      </x:c>
      <x:c r="M85"/>
    </x:row>
    <x:row r="86" ht="44" customHeight="1">
      <x:c r="A86" s="14" t="str">
        <x:v>01a0e473-f63b-7cad-b290-bec9166341e8</x:v>
      </x:c>
      <x:c r="B86" s="14" t="n">
        <x:v>59</x:v>
      </x:c>
      <x:c r="C86" s="14" t="str">
        <x:v>Restore Agent</x:v>
      </x:c>
      <x:c r="D86" s="14" t="str">
        <x:v>Operações &amp; Infraestrutura</x:v>
      </x:c>
      <x:c r="E86" s="14" t="str">
        <x:v>Agente de restauração</x:v>
      </x:c>
      <x:c r="F86" s="14" t="str">
        <x:v>F17 Checkpoint + Rollback | F19 Repo Intelligence / Tree-sitter | F22 Device Nodes</x:v>
      </x:c>
      <x:c r="G86" s="14" t="str">
        <x:v>checkpoint.restore.execute</x:v>
      </x:c>
      <x:c r="H86" s="14" t="str">
        <x:v>Sob demanda</x:v>
      </x:c>
      <x:c r="I86" s="14" t="str">
        <x:v>Determinístico/Ollama</x:v>
      </x:c>
      <x:c r="J86" s="14" t="str">
        <x:v>Crítica</x:v>
      </x:c>
      <x:c r="K86" s="14" t="str">
        <x:v>QA3/Niobe.</x:v>
      </x:c>
      <x:c r="L86" s="14" t="str">
        <x:v>Architect (MIT) — AST/Tree-sitter/Repo Intelligence | Hermes — patterns; validar licença por versão | OpenClaw — gateway/nodes/channels; validar licença por versão</x:v>
      </x:c>
      <x:c r="M86"/>
    </x:row>
    <x:row r="87" ht="44" customHeight="1">
      <x:c r="A87" s="14" t="str">
        <x:v>01a0e473-f63c-7f03-831f-1c952dfae36c</x:v>
      </x:c>
      <x:c r="B87" s="14" t="n">
        <x:v>60</x:v>
      </x:c>
      <x:c r="C87" s="14" t="str">
        <x:v>SRE/Operations Agent</x:v>
      </x:c>
      <x:c r="D87" s="14" t="str">
        <x:v>Operações &amp; Infraestrutura</x:v>
      </x:c>
      <x:c r="E87" s="14" t="str">
        <x:v>Agente SRE</x:v>
      </x:c>
      <x:c r="F87" s="14" t="str">
        <x:v>F16 Scheduler + Background Jobs | F22 Device Nodes</x:v>
      </x:c>
      <x:c r="G87" s="14" t="str">
        <x:v>operations.sre.manage</x:v>
      </x:c>
      <x:c r="H87" s="14" t="str">
        <x:v>Permanente</x:v>
      </x:c>
      <x:c r="I87" s="14" t="str">
        <x:v>Ollama</x:v>
      </x:c>
      <x:c r="J87" s="14" t="str">
        <x:v>Alta</x:v>
      </x:c>
      <x:c r="K87" s="14" t="str">
        <x:v>Niobe/Dozer/QA.</x:v>
      </x:c>
      <x:c r="L87" s="14" t="str">
        <x:v>oh-my-claudecode (MIT) — multiagentes/jobs/skills/router | Hermes — patterns; validar licença por versão | OpenClaw — gateway/nodes/channels; validar licença por versão</x:v>
      </x:c>
      <x:c r="M87"/>
    </x:row>
    <x:row r="88" ht="44" customHeight="1">
      <x:c r="A88" s="14" t="str">
        <x:v>01a0e473-f63d-777f-8139-a6985d95cae5</x:v>
      </x:c>
      <x:c r="B88" s="14" t="n">
        <x:v>61</x:v>
      </x:c>
      <x:c r="C88" s="14" t="str">
        <x:v>Sandbox Manager</x:v>
      </x:c>
      <x:c r="D88" s="14" t="str">
        <x:v>Operações &amp; Infraestrutura</x:v>
      </x:c>
      <x:c r="E88" s="14" t="str">
        <x:v>Agente de isolamento</x:v>
      </x:c>
      <x:c r="F88" s="14" t="str">
        <x:v>F15 Skill Runtime + Memory/Context Engine | F17 Checkpoint + Rollback | F22 Device Nodes</x:v>
      </x:c>
      <x:c r="G88" s="14" t="str">
        <x:v>sandbox.manage</x:v>
      </x:c>
      <x:c r="H88" s="14" t="str">
        <x:v>Permanente</x:v>
      </x:c>
      <x:c r="I88" s="14" t="str">
        <x:v>Determinístico/Ollama</x:v>
      </x:c>
      <x:c r="J88" s="14" t="str">
        <x:v>Crítica</x:v>
      </x:c>
      <x:c r="K88" s="14" t="str">
        <x:v>Agent / Evidence.</x:v>
      </x:c>
      <x:c r="L88" s="14" t="str">
        <x:v>oh-my-claudecode (MIT) — multiagentes/jobs/skills/router | Hermes — patterns; validar licença por versão | OpenClaw — gateway/nodes/channels; validar licença por versão</x:v>
      </x:c>
      <x:c r="M88"/>
    </x:row>
    <x:row r="89" ht="44" customHeight="1">
      <x:c r="A89" s="14" t="str">
        <x:v>01a0e473-f63e-7112-b100-cfcf4b49c51c</x:v>
      </x:c>
      <x:c r="B89" s="14" t="n">
        <x:v>62</x:v>
      </x:c>
      <x:c r="C89" s="14" t="str">
        <x:v>Tool/MCP Manager</x:v>
      </x:c>
      <x:c r="D89" s="14" t="str">
        <x:v>Operações &amp; Infraestrutura</x:v>
      </x:c>
      <x:c r="E89" s="14" t="str">
        <x:v>Agente de ferramentas</x:v>
      </x:c>
      <x:c r="F89" s="14" t="str">
        <x:v>F15 Skill Runtime + Memory/Context Engine | F18 MCP + LSP Runtime | F22 Device Nodes | F23 Secret &amp; Credential Broker</x:v>
      </x:c>
      <x:c r="G89" s="14" t="str">
        <x:v>tool.mcp.registry.manage</x:v>
      </x:c>
      <x:c r="H89" s="14" t="str">
        <x:v>Permanente</x:v>
      </x:c>
      <x:c r="I89" s="14" t="str">
        <x:v>Ollama/Claude</x:v>
      </x:c>
      <x:c r="J89" s="14" t="str">
        <x:v>Alta</x:v>
      </x:c>
      <x:c r="K89" s="14" t="str">
        <x:v>Seraph/Thompson/Link.</x:v>
      </x:c>
      <x:c r="L89" s="14" t="str">
        <x:v>oh-my-claudecode (MIT) — multiagentes/jobs/skills/router | Hermes — patterns; validar licença por versão | OpenClaw — gateway/nodes/channels; validar licença por versão</x:v>
      </x:c>
      <x:c r="M89"/>
    </x:row>
    <x:row r="90" ht="44" customHeight="1">
      <x:c r="A90" s="14" t="str">
        <x:v>01a0e473-f63f-781b-a066-be7496e4cd16</x:v>
      </x:c>
      <x:c r="B90" s="14" t="n">
        <x:v>63</x:v>
      </x:c>
      <x:c r="C90" s="14" t="str">
        <x:v>Secrets Manager</x:v>
      </x:c>
      <x:c r="D90" s="14" t="str">
        <x:v>Segurança &amp; Compliance</x:v>
      </x:c>
      <x:c r="E90" s="14" t="str">
        <x:v>Agente de segredos</x:v>
      </x:c>
      <x:c r="F90" s="14" t="str">
        <x:v>F23 Secret &amp; Credential Broker</x:v>
      </x:c>
      <x:c r="G90" s="14" t="str">
        <x:v>secret.credential.broker</x:v>
      </x:c>
      <x:c r="H90" s="14" t="str">
        <x:v>Permanente</x:v>
      </x:c>
      <x:c r="I90" s="14" t="str">
        <x:v>Determinístico</x:v>
      </x:c>
      <x:c r="J90" s="14" t="str">
        <x:v>Crítica</x:v>
      </x:c>
      <x:c r="K90" s="14" t="str">
        <x:v>Seraph/Tool Gateway.</x:v>
      </x:c>
      <x:c r="L90" s="14" t="str">
        <x:v>Hermes — patterns; validar licença por versão | OpenClaw — gateway/nodes/channels; validar licença por versão | ZeroClaw — benchmark Rust/providers/tools</x:v>
      </x:c>
      <x:c r="M90"/>
    </x:row>
    <x:row r="91" ht="44" customHeight="1">
      <x:c r="A91" s="14" t="str">
        <x:v>01a0e473-f640-799d-9824-531aea38c20c</x:v>
      </x:c>
      <x:c r="B91" s="14" t="n">
        <x:v>64</x:v>
      </x:c>
      <x:c r="C91" s="14" t="str">
        <x:v>Context Compiler</x:v>
      </x:c>
      <x:c r="D91" s="14" t="str">
        <x:v>IA &amp; Conhecimento</x:v>
      </x:c>
      <x:c r="E91" s="14" t="str">
        <x:v>Agente de contexto</x:v>
      </x:c>
      <x:c r="F91" s="14" t="str">
        <x:v>F15 Skill Runtime + Memory/Context Engine | F17 Checkpoint + Rollback | F18 MCP + LSP Runtime | F19 Repo Intelligence / Tree-sitter | F20 Team Runtime | F22 Device Nodes | F25 Knowledge / Evidence Graph</x:v>
      </x:c>
      <x:c r="G91" s="14" t="str">
        <x:v>context.compile</x:v>
      </x:c>
      <x:c r="H91" s="14" t="str">
        <x:v>Permanente</x:v>
      </x:c>
      <x:c r="I91" s="14" t="str">
        <x:v>Ollama</x:v>
      </x:c>
      <x:c r="J91" s="14" t="str">
        <x:v>Crítica</x:v>
      </x:c>
      <x:c r="K91" s="14" t="str">
        <x:v>Model Router/Agent.</x:v>
      </x:c>
      <x:c r="L91" s="14" t="str">
        <x:v>Architect (MIT) — AST/Tree-sitter/Repo Intelligence | oh-my-claudecode (MIT) — multiagentes/jobs/skills/router | Hermes — patterns; validar licença por versão</x:v>
      </x:c>
      <x:c r="M91"/>
    </x:row>
    <x:row r="92" ht="44" customHeight="1">
      <x:c r="A92" s="14" t="str">
        <x:v>01a0e473-f641-7b34-b9e3-ecbd4d238e17</x:v>
      </x:c>
      <x:c r="B92" s="14" t="n">
        <x:v>65</x:v>
      </x:c>
      <x:c r="C92" s="14" t="str">
        <x:v>Knowledge Graph Agent</x:v>
      </x:c>
      <x:c r="D92" s="14" t="str">
        <x:v>IA &amp; Conhecimento</x:v>
      </x:c>
      <x:c r="E92" s="14" t="str">
        <x:v>Agente de conhecimento</x:v>
      </x:c>
      <x:c r="F92" s="14" t="str">
        <x:v>F15 Skill Runtime + Memory/Context Engine | F17 Checkpoint + Rollback | F18 MCP + LSP Runtime | F19 Repo Intelligence / Tree-sitter | F20 Team Runtime | F24 Auto-learning + Skill Evolution | F25 Knowledge / Evidence Graph</x:v>
      </x:c>
      <x:c r="G92" s="14" t="str">
        <x:v>knowledge.graph.manage</x:v>
      </x:c>
      <x:c r="H92" s="14" t="str">
        <x:v>Permanente</x:v>
      </x:c>
      <x:c r="I92" s="14" t="str">
        <x:v>Ollama</x:v>
      </x:c>
      <x:c r="J92" s="14" t="str">
        <x:v>Alta</x:v>
      </x:c>
      <x:c r="K92" s="14" t="str">
        <x:v>Context Compiler/Research.</x:v>
      </x:c>
      <x:c r="L92" s="14" t="str">
        <x:v>Architect (MIT) — AST/Tree-sitter/Repo Intelligence | oh-my-claudecode (MIT) — multiagentes/jobs/skills/router | Hermes — patterns; validar licença por versão</x:v>
      </x:c>
      <x:c r="M92"/>
    </x:row>
    <x:row r="93" ht="44" customHeight="1">
      <x:c r="A93" s="14" t="str">
        <x:v>01a0e473-f642-7a0b-9faa-0d9572211b9f</x:v>
      </x:c>
      <x:c r="B93" s="14" t="n">
        <x:v>66</x:v>
      </x:c>
      <x:c r="C93" s="14" t="str">
        <x:v>Evidence Graph Agent</x:v>
      </x:c>
      <x:c r="D93" s="14" t="str">
        <x:v>IA &amp; Conhecimento</x:v>
      </x:c>
      <x:c r="E93" s="14" t="str">
        <x:v>Agente de evidências</x:v>
      </x:c>
      <x:c r="F93" s="14" t="str">
        <x:v>F15 Skill Runtime + Memory/Context Engine | F17 Checkpoint + Rollback | F22 Device Nodes | F24 Auto-learning + Skill Evolution | F25 Knowledge / Evidence Graph</x:v>
      </x:c>
      <x:c r="G93" s="14" t="str">
        <x:v>evidence.graph.manage</x:v>
      </x:c>
      <x:c r="H93" s="14" t="str">
        <x:v>Permanente</x:v>
      </x:c>
      <x:c r="I93" s="14" t="str">
        <x:v>Ollama</x:v>
      </x:c>
      <x:c r="J93" s="14" t="str">
        <x:v>Crítica</x:v>
      </x:c>
      <x:c r="K93" s="14" t="str">
        <x:v>OPA/QA3.</x:v>
      </x:c>
      <x:c r="L93" s="14" t="str">
        <x:v>oh-my-claudecode (MIT) — multiagentes/jobs/skills/router | Hermes — patterns; validar licença por versão | OpenClaw — gateway/nodes/channels; validar licença por versão</x:v>
      </x:c>
      <x:c r="M93"/>
    </x:row>
    <x:row r="94" ht="44" customHeight="1">
      <x:c r="A94" s="14" t="str">
        <x:v>01a0e473-f643-7271-9c16-dbafea8c5249</x:v>
      </x:c>
      <x:c r="B94" s="14" t="n">
        <x:v>67</x:v>
      </x:c>
      <x:c r="C94" s="14" t="str">
        <x:v>Artifact Manager</x:v>
      </x:c>
      <x:c r="D94" s="14" t="str">
        <x:v>Operações &amp; Infraestrutura</x:v>
      </x:c>
      <x:c r="E94" s="14" t="str">
        <x:v>Agente de artefatos</x:v>
      </x:c>
      <x:c r="F94" s="14" t="str">
        <x:v>F17 Checkpoint + Rollback | F22 Device Nodes | F25 Knowledge / Evidence Graph</x:v>
      </x:c>
      <x:c r="G94" s="14" t="str">
        <x:v>artifact.registry.manage</x:v>
      </x:c>
      <x:c r="H94" s="14" t="str">
        <x:v>Permanente</x:v>
      </x:c>
      <x:c r="I94" s="14" t="str">
        <x:v>Determinístico/Ollama</x:v>
      </x:c>
      <x:c r="J94" s="14" t="str">
        <x:v>Alta</x:v>
      </x:c>
      <x:c r="K94" s="14" t="str">
        <x:v>Reproducible Build/Release.</x:v>
      </x:c>
      <x:c r="L94" s="14" t="str">
        <x:v>Hermes — patterns; validar licença por versão | OpenClaw — gateway/nodes/channels; validar licença por versão | ZeroClaw — benchmark Rust/providers/tools</x:v>
      </x:c>
      <x:c r="M94"/>
    </x:row>
    <x:row r="95" ht="44" customHeight="1">
      <x:c r="A95" s="14" t="str">
        <x:v>01a0e473-f644-769d-8ae3-769c0fa16faf</x:v>
      </x:c>
      <x:c r="B95" s="14" t="n">
        <x:v>68</x:v>
      </x:c>
      <x:c r="C95" s="14" t="str">
        <x:v>Budget Manager</x:v>
      </x:c>
      <x:c r="D95" s="14" t="str">
        <x:v>Gestão &amp; Financeiro</x:v>
      </x:c>
      <x:c r="E95" s="14" t="str">
        <x:v>Agente de orçamento IA</x:v>
      </x:c>
      <x:c r="F95" s="14" t="str">
        <x:v>F15 Skill Runtime + Memory/Context Engine | F16 Scheduler + Background Jobs | F20 Team Runtime</x:v>
      </x:c>
      <x:c r="G95" s="14" t="str">
        <x:v>budget.ai.enforce</x:v>
      </x:c>
      <x:c r="H95" s="14" t="str">
        <x:v>Permanente</x:v>
      </x:c>
      <x:c r="I95" s="14" t="str">
        <x:v>Determinístico</x:v>
      </x:c>
      <x:c r="J95" s="14" t="str">
        <x:v>Crítica</x:v>
      </x:c>
      <x:c r="K95" s="14" t="str">
        <x:v>Model Router/PO.</x:v>
      </x:c>
      <x:c r="L95" s="14" t="str">
        <x:v>oh-my-claudecode (MIT) — multiagentes/jobs/skills/router | Hermes — patterns; validar licença por versão | ZeroClaw — benchmark Rust/providers/tools</x:v>
      </x:c>
      <x:c r="M95"/>
    </x:row>
    <x:row r="96" ht="44" customHeight="1">
      <x:c r="A96" s="14" t="str">
        <x:v>01a0e473-f645-7d82-8aff-cfaaa5ab5e3d</x:v>
      </x:c>
      <x:c r="B96" s="14" t="n">
        <x:v>69</x:v>
      </x:c>
      <x:c r="C96" s="14" t="str">
        <x:v>Model Router</x:v>
      </x:c>
      <x:c r="D96" s="14" t="str">
        <x:v>IA &amp; Conhecimento</x:v>
      </x:c>
      <x:c r="E96" s="14" t="str">
        <x:v>Agente roteador</x:v>
      </x:c>
      <x:c r="F96" s="14" t="str">
        <x:v>F15 Skill Runtime + Memory/Context Engine | F16 Scheduler + Background Jobs | F19 Repo Intelligence / Tree-sitter | F20 Team Runtime | F23 Secret &amp; Credential Broker</x:v>
      </x:c>
      <x:c r="G96" s="14" t="str">
        <x:v>model.route</x:v>
      </x:c>
      <x:c r="H96" s="14" t="str">
        <x:v>Permanente</x:v>
      </x:c>
      <x:c r="I96" s="14" t="str">
        <x:v>Determinístico/Ollama</x:v>
      </x:c>
      <x:c r="J96" s="14" t="str">
        <x:v>Crítica</x:v>
      </x:c>
      <x:c r="K96" s="14" t="str">
        <x:v>Agent runtime.</x:v>
      </x:c>
      <x:c r="L96" s="14" t="str">
        <x:v>Architect (MIT) — AST/Tree-sitter/Repo Intelligence | oh-my-claudecode (MIT) — multiagentes/jobs/skills/router | Hermes — patterns; validar licença por versão</x:v>
      </x:c>
      <x:c r="M96"/>
    </x:row>
    <x:row r="97" ht="44" customHeight="1">
      <x:c r="A97" s="14" t="str">
        <x:v>01a0e473-f646-708d-8a03-c285edd8d91e</x:v>
      </x:c>
      <x:c r="B97" s="14" t="n">
        <x:v>70</x:v>
      </x:c>
      <x:c r="C97" s="14" t="str">
        <x:v>Model Evaluator</x:v>
      </x:c>
      <x:c r="D97" s="14" t="str">
        <x:v>IA &amp; Conhecimento</x:v>
      </x:c>
      <x:c r="E97" s="14" t="str">
        <x:v>Agente de avaliação de modelos</x:v>
      </x:c>
      <x:c r="F97" s="14" t="str">
        <x:v>F15 Skill Runtime + Memory/Context Engine | F20 Team Runtime | F24 Auto-learning + Skill Evolution | F25 Knowledge / Evidence Graph</x:v>
      </x:c>
      <x:c r="G97" s="14" t="str">
        <x:v>model.evaluate</x:v>
      </x:c>
      <x:c r="H97" s="14" t="str">
        <x:v>Permanente</x:v>
      </x:c>
      <x:c r="I97" s="14" t="str">
        <x:v>Ollama</x:v>
      </x:c>
      <x:c r="J97" s="14" t="str">
        <x:v>Alta</x:v>
      </x:c>
      <x:c r="K97" s="14" t="str">
        <x:v>Model Router/Budget.</x:v>
      </x:c>
      <x:c r="L97" s="14" t="str">
        <x:v>oh-my-claudecode (MIT) — multiagentes/jobs/skills/router | Hermes — patterns; validar licença por versão | ZeroClaw — benchmark Rust/providers/tools</x:v>
      </x:c>
      <x:c r="M97"/>
    </x:row>
    <x:row r="98" ht="44" customHeight="1">
      <x:c r="A98" s="14" t="str">
        <x:v>01a0e473-f647-7ab3-878b-993eea61b825</x:v>
      </x:c>
      <x:c r="B98" s="14" t="n">
        <x:v>71</x:v>
      </x:c>
      <x:c r="C98" s="14" t="str">
        <x:v>Scrum Master</x:v>
      </x:c>
      <x:c r="D98" s="14" t="str">
        <x:v>Gestão &amp; Financeiro</x:v>
      </x:c>
      <x:c r="E98" s="14" t="str">
        <x:v>Agente de fluxo</x:v>
      </x:c>
      <x:c r="F98" s="14" t="str">
        <x:v>F16 Scheduler + Background Jobs | F20 Team Runtime</x:v>
      </x:c>
      <x:c r="G98" s="14" t="str">
        <x:v>workflow.scrum.manage</x:v>
      </x:c>
      <x:c r="H98" s="14" t="str">
        <x:v>Permanente</x:v>
      </x:c>
      <x:c r="I98" s="14" t="str">
        <x:v>Ollama</x:v>
      </x:c>
      <x:c r="J98" s="14" t="str">
        <x:v>Média</x:v>
      </x:c>
      <x:c r="K98" s="14" t="str">
        <x:v>Orchestrator/PMO.</x:v>
      </x:c>
      <x:c r="L98" s="14" t="str">
        <x:v>oh-my-claudecode (MIT) — multiagentes/jobs/skills/router | Hermes — patterns; validar licença por versão | ZeroClaw — benchmark Rust/providers/tools</x:v>
      </x:c>
      <x:c r="M98"/>
    </x:row>
    <x:row r="99" ht="44" customHeight="1">
      <x:c r="A99" s="14" t="str">
        <x:v>01a0e473-f648-750b-a5bd-559e1bb9ce20</x:v>
      </x:c>
      <x:c r="B99" s="14" t="n">
        <x:v>72</x:v>
      </x:c>
      <x:c r="C99" s="14" t="str">
        <x:v>PMO / Planner</x:v>
      </x:c>
      <x:c r="D99" s="14" t="str">
        <x:v>Gestão &amp; Financeiro</x:v>
      </x:c>
      <x:c r="E99" s="14" t="str">
        <x:v>Agente de planejamento</x:v>
      </x:c>
      <x:c r="F99" s="14" t="str">
        <x:v>F16 Scheduler + Background Jobs | F17 Checkpoint + Rollback | F20 Team Runtime | F22 Device Nodes</x:v>
      </x:c>
      <x:c r="G99" s="14" t="str">
        <x:v>planning.portfolio.manage</x:v>
      </x:c>
      <x:c r="H99" s="14" t="str">
        <x:v>Permanente</x:v>
      </x:c>
      <x:c r="I99" s="14" t="str">
        <x:v>Ollama</x:v>
      </x:c>
      <x:c r="J99" s="14" t="str">
        <x:v>Alta</x:v>
      </x:c>
      <x:c r="K99" s="14" t="str">
        <x:v>Scrum Master/Orchestrator.</x:v>
      </x:c>
      <x:c r="L99" s="14" t="str">
        <x:v>oh-my-claudecode (MIT) — multiagentes/jobs/skills/router | Hermes — patterns; validar licença por versão | OpenClaw — gateway/nodes/channels; validar licença por versão</x:v>
      </x:c>
      <x:c r="M99"/>
    </x:row>
    <x:row r="100" ht="44" customHeight="1">
      <x:c r="A100" s="14" t="str">
        <x:v>01a0e473-f649-7199-8ffe-8302e5f79a04</x:v>
      </x:c>
      <x:c r="B100" s="14" t="n">
        <x:v>73</x:v>
      </x:c>
      <x:c r="C100" s="14" t="str">
        <x:v>Licensor / Clean-Room Guardian</x:v>
      </x:c>
      <x:c r="D100" s="14" t="str">
        <x:v>Segurança &amp; Compliance</x:v>
      </x:c>
      <x:c r="E100" s="14" t="str">
        <x:v>Agente de proveniência</x:v>
      </x:c>
      <x:c r="F100" s="14" t="str">
        <x:v>F15 Skill Runtime + Memory/Context Engine | F19 Repo Intelligence / Tree-sitter | F23 Secret &amp; Credential Broker</x:v>
      </x:c>
      <x:c r="G100" s="14" t="str">
        <x:v>governance.constitution.enforce</x:v>
      </x:c>
      <x:c r="H100" s="14" t="str">
        <x:v>Permanente</x:v>
      </x:c>
      <x:c r="I100" s="14" t="str">
        <x:v>Claude/Ollama</x:v>
      </x:c>
      <x:c r="J100" s="14" t="str">
        <x:v>Crítica</x:v>
      </x:c>
      <x:c r="K100" s="14" t="str">
        <x:v>Technology Harvest/Supply Chain.</x:v>
      </x:c>
      <x:c r="L100" s="14" t="str">
        <x:v>Architect (MIT) — AST/Tree-sitter/Repo Intelligence | oh-my-claudecode (MIT) — multiagentes/jobs/skills/router | Hermes — patterns; validar licença por versão</x:v>
      </x:c>
      <x:c r="M100"/>
    </x:row>
    <x:row r="101" ht="44" customHeight="1">
      <x:c r="A101" s="14" t="str">
        <x:v>01a0e473-f64a-778d-b1d0-39f299fdcb68</x:v>
      </x:c>
      <x:c r="B101" s="14" t="n">
        <x:v>74</x:v>
      </x:c>
      <x:c r="C101" s="14" t="str">
        <x:v>Supply Chain Guardian</x:v>
      </x:c>
      <x:c r="D101" s="14" t="str">
        <x:v>Segurança &amp; Compliance</x:v>
      </x:c>
      <x:c r="E101" s="14" t="str">
        <x:v>Agente de cadeia de suprimentos</x:v>
      </x:c>
      <x:c r="F101" s="14" t="str">
        <x:v>F19 Repo Intelligence / Tree-sitter | F23 Secret &amp; Credential Broker</x:v>
      </x:c>
      <x:c r="G101" s="14" t="str">
        <x:v>governance.constitution.enforce</x:v>
      </x:c>
      <x:c r="H101" s="14" t="str">
        <x:v>Permanente</x:v>
      </x:c>
      <x:c r="I101" s="14" t="str">
        <x:v>Ollama/Claude</x:v>
      </x:c>
      <x:c r="J101" s="14" t="str">
        <x:v>Crítica</x:v>
      </x:c>
      <x:c r="K101" s="14" t="str">
        <x:v>Thompson/Versionador.</x:v>
      </x:c>
      <x:c r="L101" s="14" t="str">
        <x:v>Architect (MIT) — AST/Tree-sitter/Repo Intelligence | Hermes — patterns; validar licença por versão | OpenClaw — gateway/nodes/channels; validar licença por versão</x:v>
      </x:c>
      <x:c r="M101"/>
    </x:row>
    <x:row r="102" ht="44" customHeight="1">
      <x:c r="A102" s="14" t="str">
        <x:v>01a0e473-f64b-7d70-a70b-ecbeb962da57</x:v>
      </x:c>
      <x:c r="B102" s="14" t="n">
        <x:v>75</x:v>
      </x:c>
      <x:c r="C102" s="14" t="str">
        <x:v>Privacy/Data Governance</x:v>
      </x:c>
      <x:c r="D102" s="14" t="str">
        <x:v>Segurança &amp; Compliance</x:v>
      </x:c>
      <x:c r="E102" s="14" t="str">
        <x:v>Agente de governança de dados</x:v>
      </x:c>
      <x:c r="F102" s="14" t="str">
        <x:v>F15 Skill Runtime + Memory/Context Engine | F20 Team Runtime | F23 Secret &amp; Credential Broker | F25 Knowledge / Evidence Graph</x:v>
      </x:c>
      <x:c r="G102" s="14" t="str">
        <x:v>privacy.data.govern</x:v>
      </x:c>
      <x:c r="H102" s="14" t="str">
        <x:v>Permanente</x:v>
      </x:c>
      <x:c r="I102" s="14" t="str">
        <x:v>Claude/Ollama</x:v>
      </x:c>
      <x:c r="J102" s="14" t="str">
        <x:v>Crítica</x:v>
      </x:c>
      <x:c r="K102" s="14" t="str">
        <x:v>Secrets/Model Router/QA.</x:v>
      </x:c>
      <x:c r="L102" s="14" t="str">
        <x:v>oh-my-claudecode (MIT) — multiagentes/jobs/skills/router | Hermes — patterns; validar licença por versão | OpenClaw — gateway/nodes/channels; validar licença por versão</x:v>
      </x:c>
      <x:c r="M102"/>
    </x:row>
    <x:row r="103" ht="44" customHeight="1">
      <x:c r="A103" s="14" t="str">
        <x:v>01a0e473-f64c-73f4-983a-ba644c60d255</x:v>
      </x:c>
      <x:c r="B103" s="14" t="n">
        <x:v>76</x:v>
      </x:c>
      <x:c r="C103" s="14" t="str">
        <x:v>Accessibility Agent</x:v>
      </x:c>
      <x:c r="D103" s="14" t="str">
        <x:v>Creative Studio &amp; UX</x:v>
      </x:c>
      <x:c r="E103" s="14" t="str">
        <x:v>Agente de acessibilidade</x:v>
      </x:c>
      <x:c r="F103" s="14" t="str">
        <x:v>F22 Device Nodes</x:v>
      </x:c>
      <x:c r="G103" s="14" t="str">
        <x:v>accessibility.validate</x:v>
      </x:c>
      <x:c r="H103" s="14" t="str">
        <x:v>Permanente</x:v>
      </x:c>
      <x:c r="I103" s="14" t="str">
        <x:v>Ollama/Claude</x:v>
      </x:c>
      <x:c r="J103" s="14" t="str">
        <x:v>Alta</x:v>
      </x:c>
      <x:c r="K103" s="14" t="str">
        <x:v>User Proof/QA.</x:v>
      </x:c>
      <x:c r="L103" s="14" t="str">
        <x:v>OpenClaw — gateway/nodes/channels; validar licença por versão | ZeroClaw — benchmark Rust/providers/tools</x:v>
      </x:c>
      <x:c r="M103"/>
    </x:row>
    <x:row r="104" ht="44" customHeight="1">
      <x:c r="A104" s="14" t="str">
        <x:v>01a0e473-f64d-75cd-8a00-29b3680a7558</x:v>
      </x:c>
      <x:c r="B104" s="14" t="n">
        <x:v>77</x:v>
      </x:c>
      <x:c r="C104" s="14" t="str">
        <x:v>Compatibility Agent</x:v>
      </x:c>
      <x:c r="D104" s="14" t="str">
        <x:v>Qualidade &amp; Provas</x:v>
      </x:c>
      <x:c r="E104" s="14" t="str">
        <x:v>Agente de compatibilidade</x:v>
      </x:c>
      <x:c r="F104" s="14" t="str">
        <x:v>F17 Checkpoint + Rollback | F18 MCP + LSP Runtime | F19 Repo Intelligence / Tree-sitter</x:v>
      </x:c>
      <x:c r="G104" s="14" t="str">
        <x:v>compatibility.validate</x:v>
      </x:c>
      <x:c r="H104" s="14" t="str">
        <x:v>Permanente</x:v>
      </x:c>
      <x:c r="I104" s="14" t="str">
        <x:v>Ollama/Codex</x:v>
      </x:c>
      <x:c r="J104" s="14" t="str">
        <x:v>Crítica</x:v>
      </x:c>
      <x:c r="K104" s="14" t="str">
        <x:v>Versionador/Migration Guardian/QA2.</x:v>
      </x:c>
      <x:c r="L104" s="14" t="str">
        <x:v>Architect (MIT) — AST/Tree-sitter/Repo Intelligence | Hermes — patterns; validar licença por versão | ZeroClaw — benchmark Rust/providers/tools</x:v>
      </x:c>
      <x:c r="M104"/>
    </x:row>
    <x:row r="105" ht="44" customHeight="1">
      <x:c r="A105" s="14" t="str">
        <x:v>01a0e473-f64e-7b28-ac9d-f846ee62aee3</x:v>
      </x:c>
      <x:c r="B105" s="14" t="n">
        <x:v>78</x:v>
      </x:c>
      <x:c r="C105" s="14" t="str">
        <x:v>Chaos/Resilience Agent</x:v>
      </x:c>
      <x:c r="D105" s="14" t="str">
        <x:v>Operações &amp; Infraestrutura</x:v>
      </x:c>
      <x:c r="E105" s="14" t="str">
        <x:v>Agente de caos</x:v>
      </x:c>
      <x:c r="F105" s="14" t="str">
        <x:v>F15 Skill Runtime + Memory/Context Engine | F16 Scheduler + Background Jobs | F17 Checkpoint + Rollback | F22 Device Nodes</x:v>
      </x:c>
      <x:c r="G105" s="14" t="str">
        <x:v>resilience.chaos.test</x:v>
      </x:c>
      <x:c r="H105" s="14" t="str">
        <x:v>Sob demanda</x:v>
      </x:c>
      <x:c r="I105" s="14" t="str">
        <x:v>Determinístico/Ollama</x:v>
      </x:c>
      <x:c r="J105" s="14" t="str">
        <x:v>Alta</x:v>
      </x:c>
      <x:c r="K105" s="14" t="str">
        <x:v>Niobe/SRE/QA3.</x:v>
      </x:c>
      <x:c r="L105" s="14" t="str">
        <x:v>oh-my-claudecode (MIT) — multiagentes/jobs/skills/router | Hermes — patterns; validar licença por versão | OpenClaw — gateway/nodes/channels; validar licença por versão</x:v>
      </x:c>
      <x:c r="M105"/>
    </x:row>
    <x:row r="106" ht="44" customHeight="1">
      <x:c r="A106" s="14" t="str">
        <x:v>01a0e473-f64f-7808-9d6c-26c8b0404446</x:v>
      </x:c>
      <x:c r="B106" s="14" t="n">
        <x:v>79</x:v>
      </x:c>
      <x:c r="C106" s="14" t="str">
        <x:v>Agent Red Team</x:v>
      </x:c>
      <x:c r="D106" s="14" t="str">
        <x:v>Segurança &amp; Compliance</x:v>
      </x:c>
      <x:c r="E106" s="14" t="str">
        <x:v>Agente adversarial de IA</x:v>
      </x:c>
      <x:c r="F106" s="14" t="str">
        <x:v>F15 Skill Runtime + Memory/Context Engine | F17 Checkpoint + Rollback | F18 MCP + LSP Runtime | F19 Repo Intelligence / Tree-sitter | F22 Device Nodes | F23 Secret &amp; Credential Broker | F24 Auto-learning + Skill Evolution | F25 Knowledge / Evidence Graph</x:v>
      </x:c>
      <x:c r="G106" s="14" t="str">
        <x:v>security.ai.redteam</x:v>
      </x:c>
      <x:c r="H106" s="14" t="str">
        <x:v>Sob demanda</x:v>
      </x:c>
      <x:c r="I106" s="14" t="str">
        <x:v>Claude/Codex</x:v>
      </x:c>
      <x:c r="J106" s="14" t="str">
        <x:v>Crítica</x:v>
      </x:c>
      <x:c r="K106" s="14" t="str">
        <x:v>Seraph/Thompson/QA3.</x:v>
      </x:c>
      <x:c r="L106" s="14" t="str">
        <x:v>Architect (MIT) — AST/Tree-sitter/Repo Intelligence | oh-my-claudecode (MIT) — multiagentes/jobs/skills/router | Hermes — patterns; validar licença por versão</x:v>
      </x:c>
      <x:c r="M106"/>
    </x:row>
    <x:row r="107" ht="44" customHeight="1">
      <x:c r="A107" s="14" t="str">
        <x:v>01a0e473-f650-745e-af5f-d56782a190b1</x:v>
      </x:c>
      <x:c r="B107" s="14" t="n">
        <x:v>80</x:v>
      </x:c>
      <x:c r="C107" s="14" t="str">
        <x:v>User Proof / UX Research</x:v>
      </x:c>
      <x:c r="D107" s="14" t="str">
        <x:v>Creative Studio &amp; UX</x:v>
      </x:c>
      <x:c r="E107" s="14" t="str">
        <x:v>Agente de prova de usabilidade</x:v>
      </x:c>
      <x:c r="F107" s="14" t="str">
        <x:v>F15 Skill Runtime + Memory/Context Engine | F18 MCP + LSP Runtime | F19 Repo Intelligence / Tree-sitter | F24 Auto-learning + Skill Evolution | F25 Knowledge / Evidence Graph</x:v>
      </x:c>
      <x:c r="G107" s="14" t="str">
        <x:v>ux.prove</x:v>
      </x:c>
      <x:c r="H107" s="14" t="str">
        <x:v>Sob demanda</x:v>
      </x:c>
      <x:c r="I107" s="14" t="str">
        <x:v>Ollama/Claude</x:v>
      </x:c>
      <x:c r="J107" s="14" t="str">
        <x:v>Alta</x:v>
      </x:c>
      <x:c r="K107" s="14" t="str">
        <x:v>QA/Creative Studio.</x:v>
      </x:c>
      <x:c r="L107" s="14" t="str">
        <x:v>Architect (MIT) — AST/Tree-sitter/Repo Intelligence | oh-my-claudecode (MIT) — multiagentes/jobs/skills/router | Hermes — patterns; validar licença por versão</x:v>
      </x:c>
      <x:c r="M107"/>
    </x:row>
    <x:row r="108" ht="44" customHeight="1">
      <x:c r="A108" s="14" t="str">
        <x:v>01a0e473-f651-73ac-85cf-08512eae46c4</x:v>
      </x:c>
      <x:c r="B108" s="14" t="n">
        <x:v>81</x:v>
      </x:c>
      <x:c r="C108" s="14" t="str">
        <x:v>FinOps Agent</x:v>
      </x:c>
      <x:c r="D108" s="14" t="str">
        <x:v>Gestão &amp; Financeiro</x:v>
      </x:c>
      <x:c r="E108" s="14" t="str">
        <x:v>Agente de custo total</x:v>
      </x:c>
      <x:c r="F108" s="14" t="str">
        <x:v>F16 Scheduler + Background Jobs | F17 Checkpoint + Rollback | F20 Team Runtime | F22 Device Nodes</x:v>
      </x:c>
      <x:c r="G108" s="14" t="str">
        <x:v>cost.finops.optimize</x:v>
      </x:c>
      <x:c r="H108" s="14" t="str">
        <x:v>Permanente</x:v>
      </x:c>
      <x:c r="I108" s="14" t="str">
        <x:v>Ollama</x:v>
      </x:c>
      <x:c r="J108" s="14" t="str">
        <x:v>Média</x:v>
      </x:c>
      <x:c r="K108" s="14" t="str">
        <x:v>PO/Budget/SRE.</x:v>
      </x:c>
      <x:c r="L108" s="14" t="str">
        <x:v>oh-my-claudecode (MIT) — multiagentes/jobs/skills/router | Hermes — patterns; validar licença por versão | OpenClaw — gateway/nodes/channels; validar licença por versão</x:v>
      </x:c>
      <x:c r="M108"/>
    </x:row>
    <x:row r="109" ht="44" customHeight="1">
      <x:c r="A109" s="14" t="str">
        <x:v>01a0e473-f652-73bf-95cc-e0fe919f7d54</x:v>
      </x:c>
      <x:c r="B109" s="14" t="n">
        <x:v>82</x:v>
      </x:c>
      <x:c r="C109" s="14" t="str">
        <x:v>Migration Guardian</x:v>
      </x:c>
      <x:c r="D109" s="14" t="str">
        <x:v>Qualidade &amp; Provas</x:v>
      </x:c>
      <x:c r="E109" s="14" t="str">
        <x:v>Guardião de migrations</x:v>
      </x:c>
      <x:c r="F109" s="14" t="str">
        <x:v>F17 Checkpoint + Rollback | F19 Repo Intelligence / Tree-sitter | F23 Secret &amp; Credential Broker | F25 Knowledge / Evidence Graph</x:v>
      </x:c>
      <x:c r="G109" s="14" t="str">
        <x:v>governance.constitution.enforce</x:v>
      </x:c>
      <x:c r="H109" s="14" t="str">
        <x:v>Permanente</x:v>
      </x:c>
      <x:c r="I109" s="14" t="str">
        <x:v>Claude/Ollama</x:v>
      </x:c>
      <x:c r="J109" s="14" t="str">
        <x:v>Crítica</x:v>
      </x:c>
      <x:c r="K109" s="14" t="str">
        <x:v>Backup/Compatibility/QA3.</x:v>
      </x:c>
      <x:c r="L109" s="14" t="str">
        <x:v>Architect (MIT) — AST/Tree-sitter/Repo Intelligence | Hermes — patterns; validar licença por versão | OpenClaw — gateway/nodes/channels; validar licença por versão</x:v>
      </x:c>
      <x:c r="M109"/>
    </x:row>
    <x:row r="110" ht="44" customHeight="1">
      <x:c r="A110" s="14" t="str">
        <x:v>01a0e473-f653-7e06-8fa5-10c77bec7519</x:v>
      </x:c>
      <x:c r="B110" s="14" t="n">
        <x:v>83</x:v>
      </x:c>
      <x:c r="C110" s="14" t="str">
        <x:v>Seraph</x:v>
      </x:c>
      <x:c r="D110" s="14" t="str">
        <x:v>Segurança &amp; Compliance</x:v>
      </x:c>
      <x:c r="E110" s="14" t="str">
        <x:v>Agente Zero Trust</x:v>
      </x:c>
      <x:c r="F110" s="14" t="str">
        <x:v>F18 MCP + LSP Runtime | F19 Repo Intelligence / Tree-sitter | F23 Secret &amp; Credential Broker</x:v>
      </x:c>
      <x:c r="G110" s="14" t="str">
        <x:v>access.zerotrust.enforce</x:v>
      </x:c>
      <x:c r="H110" s="14" t="str">
        <x:v>Permanente</x:v>
      </x:c>
      <x:c r="I110" s="14" t="str">
        <x:v>Determinístico</x:v>
      </x:c>
      <x:c r="J110" s="14" t="str">
        <x:v>Crítica</x:v>
      </x:c>
      <x:c r="K110" s="14" t="str">
        <x:v>Tool Gateway/Agent runtime.</x:v>
      </x:c>
      <x:c r="L110" s="14" t="str">
        <x:v>Architect (MIT) — AST/Tree-sitter/Repo Intelligence | Hermes — patterns; validar licença por versão | OpenClaw — gateway/nodes/channels; validar licença por versão</x:v>
      </x:c>
      <x:c r="M110"/>
    </x:row>
    <x:row r="111" ht="44" customHeight="1">
      <x:c r="A111" s="14" t="str">
        <x:v>01a0e473-f654-7cd0-bdaa-d9b448fe310e</x:v>
      </x:c>
      <x:c r="B111" s="14" t="n">
        <x:v>84</x:v>
      </x:c>
      <x:c r="C111" s="14" t="str">
        <x:v>Niobe</x:v>
      </x:c>
      <x:c r="D111" s="14" t="str">
        <x:v>Operações &amp; Infraestrutura</x:v>
      </x:c>
      <x:c r="E111" s="14" t="str">
        <x:v>Incident Commander</x:v>
      </x:c>
      <x:c r="F111" s="14" t="str">
        <x:v>F16 Scheduler + Background Jobs | F17 Checkpoint + Rollback | F22 Device Nodes</x:v>
      </x:c>
      <x:c r="G111" s="14" t="str">
        <x:v>incident.command</x:v>
      </x:c>
      <x:c r="H111" s="14" t="str">
        <x:v>Sob demanda</x:v>
      </x:c>
      <x:c r="I111" s="14" t="str">
        <x:v>Claude/Ollama</x:v>
      </x:c>
      <x:c r="J111" s="14" t="str">
        <x:v>Crítica</x:v>
      </x:c>
      <x:c r="K111" s="14" t="str">
        <x:v>Brown/SRE/Restore/Postmortem.</x:v>
      </x:c>
      <x:c r="L111" s="14" t="str">
        <x:v>oh-my-claudecode (MIT) — multiagentes/jobs/skills/router | Hermes — patterns; validar licença por versão | OpenClaw — gateway/nodes/channels; validar licença por versão</x:v>
      </x:c>
      <x:c r="M111"/>
    </x:row>
    <x:row r="112" ht="44" customHeight="1">
      <x:c r="A112" s="14" t="str">
        <x:v>01a0e473-f655-79ba-b433-fd32d0718d28</x:v>
      </x:c>
      <x:c r="B112" s="14" t="n">
        <x:v>85</x:v>
      </x:c>
      <x:c r="C112" s="14" t="str">
        <x:v>Link</x:v>
      </x:c>
      <x:c r="D112" s="14" t="str">
        <x:v>Operações &amp; Infraestrutura</x:v>
      </x:c>
      <x:c r="E112" s="14" t="str">
        <x:v>Agente de conectividade de ferramentas</x:v>
      </x:c>
      <x:c r="F112" s="14" t="str">
        <x:v>F18 MCP + LSP Runtime | F22 Device Nodes</x:v>
      </x:c>
      <x:c r="G112" s="14" t="str">
        <x:v>tool.connectivity.route</x:v>
      </x:c>
      <x:c r="H112" s="14" t="str">
        <x:v>Permanente</x:v>
      </x:c>
      <x:c r="I112" s="14" t="str">
        <x:v>Determinístico/Ollama</x:v>
      </x:c>
      <x:c r="J112" s="14" t="str">
        <x:v>Alta</x:v>
      </x:c>
      <x:c r="K112" s="14" t="str">
        <x:v>Agent/Tool audit.</x:v>
      </x:c>
      <x:c r="L112" s="14" t="str">
        <x:v>OpenClaw — gateway/nodes/channels; validar licença por versão | ZeroClaw — benchmark Rust/providers/tools | Claw Code Rust — referência técnica/clean-room</x:v>
      </x:c>
      <x:c r="M112"/>
    </x:row>
    <x:row r="113" ht="44" customHeight="1">
      <x:c r="A113" s="14" t="str">
        <x:v>01a0e473-f656-743b-926b-6f8ac00e7132</x:v>
      </x:c>
      <x:c r="B113" s="14" t="n">
        <x:v>86</x:v>
      </x:c>
      <x:c r="C113" s="14" t="str">
        <x:v>Tank</x:v>
      </x:c>
      <x:c r="D113" s="14" t="str">
        <x:v>Operações &amp; Infraestrutura</x:v>
      </x:c>
      <x:c r="E113" s="14" t="str">
        <x:v>Agente operador de build</x:v>
      </x:c>
      <x:c r="F113" s="14" t="str">
        <x:v>F17 Checkpoint + Rollback | F18 MCP + LSP Runtime | F22 Device Nodes | F25 Knowledge / Evidence Graph</x:v>
      </x:c>
      <x:c r="G113" s="14" t="str">
        <x:v>build.execute</x:v>
      </x:c>
      <x:c r="H113" s="14" t="str">
        <x:v>Permanente</x:v>
      </x:c>
      <x:c r="I113" s="14" t="str">
        <x:v>Determinístico/Ollama</x:v>
      </x:c>
      <x:c r="J113" s="14" t="str">
        <x:v>Alta</x:v>
      </x:c>
      <x:c r="K113" s="14" t="str">
        <x:v>Reproducible Build/Artifact Manager.</x:v>
      </x:c>
      <x:c r="L113" s="14" t="str">
        <x:v>Hermes — patterns; validar licença por versão | OpenClaw — gateway/nodes/channels; validar licença por versão | ZeroClaw — benchmark Rust/providers/tools</x:v>
      </x:c>
      <x:c r="M113"/>
    </x:row>
    <x:row r="114" ht="44" customHeight="1">
      <x:c r="A114" s="14" t="str">
        <x:v>01a0e473-f657-70e6-aea4-487c8c041cc2</x:v>
      </x:c>
      <x:c r="B114" s="14" t="n">
        <x:v>87</x:v>
      </x:c>
      <x:c r="C114" s="14" t="str">
        <x:v>Dozer</x:v>
      </x:c>
      <x:c r="D114" s="14" t="str">
        <x:v>Operações &amp; Infraestrutura</x:v>
      </x:c>
      <x:c r="E114" s="14" t="str">
        <x:v>Agente de infraestrutura pesada</x:v>
      </x:c>
      <x:c r="F114" s="14" t="str">
        <x:v>F17 Checkpoint + Rollback | F22 Device Nodes</x:v>
      </x:c>
      <x:c r="G114" s="14" t="str">
        <x:v>infrastructure.provision</x:v>
      </x:c>
      <x:c r="H114" s="14" t="str">
        <x:v>Permanente</x:v>
      </x:c>
      <x:c r="I114" s="14" t="str">
        <x:v>Ollama</x:v>
      </x:c>
      <x:c r="J114" s="14" t="str">
        <x:v>Alta</x:v>
      </x:c>
      <x:c r="K114" s="14" t="str">
        <x:v>SRE/Sandbox/Niobe.</x:v>
      </x:c>
      <x:c r="L114" s="14" t="str">
        <x:v>Hermes — patterns; validar licença por versão | OpenClaw — gateway/nodes/channels; validar licença por versão | ZeroClaw — benchmark Rust/providers/tools</x:v>
      </x:c>
      <x:c r="M114"/>
    </x:row>
    <x:row r="115" ht="44" customHeight="1">
      <x:c r="A115" s="14" t="str">
        <x:v>01a0e473-f658-7333-bb3a-af3afe577499</x:v>
      </x:c>
      <x:c r="B115" s="14" t="n">
        <x:v>88</x:v>
      </x:c>
      <x:c r="C115" s="14" t="str">
        <x:v>Mouse</x:v>
      </x:c>
      <x:c r="D115" s="14" t="str">
        <x:v>Pesquisa &amp; Inovação</x:v>
      </x:c>
      <x:c r="E115" s="14" t="str">
        <x:v>Agente prototipador</x:v>
      </x:c>
      <x:c r="F115" s="14" t="str">
        <x:v>F15 Skill Runtime + Memory/Context Engine | F17 Checkpoint + Rollback | F18 MCP + LSP Runtime | F22 Device Nodes</x:v>
      </x:c>
      <x:c r="G115" s="14" t="str">
        <x:v>prototype.experiment</x:v>
      </x:c>
      <x:c r="H115" s="14" t="str">
        <x:v>Sob demanda</x:v>
      </x:c>
      <x:c r="I115" s="14" t="str">
        <x:v>Ollama/Codex</x:v>
      </x:c>
      <x:c r="J115" s="14" t="str">
        <x:v>Média</x:v>
      </x:c>
      <x:c r="K115" s="14" t="str">
        <x:v>Hypothesis/Oráculo.</x:v>
      </x:c>
      <x:c r="L115" s="14" t="str">
        <x:v>oh-my-claudecode (MIT) — multiagentes/jobs/skills/router | Hermes — patterns; validar licença por versão | OpenClaw — gateway/nodes/channels; validar licença por versão</x:v>
      </x:c>
      <x:c r="M115"/>
    </x:row>
    <x:row r="116" ht="44" customHeight="1">
      <x:c r="A116" s="14" t="str">
        <x:v>01a0e473-f659-7406-bb57-477469a028fe</x:v>
      </x:c>
      <x:c r="B116" s="14" t="n">
        <x:v>89</x:v>
      </x:c>
      <x:c r="C116" s="14" t="str">
        <x:v>Sati</x:v>
      </x:c>
      <x:c r="D116" s="14" t="str">
        <x:v>Creative Studio &amp; UX</x:v>
      </x:c>
      <x:c r="E116" s="14" t="str">
        <x:v>Agente de criatividade generativa</x:v>
      </x:c>
      <x:c r="F116" s="14" t="str">
        <x:v>F15 Skill Runtime + Memory/Context Engine | F17 Checkpoint + Rollback | F22 Device Nodes | F24 Auto-learning + Skill Evolution</x:v>
      </x:c>
      <x:c r="G116" s="14" t="str">
        <x:v>creative.generate</x:v>
      </x:c>
      <x:c r="H116" s="14" t="str">
        <x:v>Sob demanda</x:v>
      </x:c>
      <x:c r="I116" s="14" t="str">
        <x:v>Modelo multimodal forte/Ollama</x:v>
      </x:c>
      <x:c r="J116" s="14" t="str">
        <x:v>Média</x:v>
      </x:c>
      <x:c r="K116" s="14" t="str">
        <x:v>Creative Studio review.</x:v>
      </x:c>
      <x:c r="L116" s="14" t="str">
        <x:v>oh-my-claudecode (MIT) — multiagentes/jobs/skills/router | Hermes — patterns; validar licença por versão | OpenClaw — gateway/nodes/channels; validar licença por versão</x:v>
      </x:c>
      <x:c r="M116"/>
    </x:row>
    <x:row r="117" ht="44" customHeight="1">
      <x:c r="A117" s="14" t="str">
        <x:v>01a0e473-f65a-7b3e-8cd5-841d03fd2ed6</x:v>
      </x:c>
      <x:c r="B117" s="14" t="n">
        <x:v>90</x:v>
      </x:c>
      <x:c r="C117" s="14" t="str">
        <x:v>Spoon Boy</x:v>
      </x:c>
      <x:c r="D117" s="14" t="str">
        <x:v>Pesquisa &amp; Inovação</x:v>
      </x:c>
      <x:c r="E117" s="14" t="str">
        <x:v>Agente de quebra de pressupostos</x:v>
      </x:c>
      <x:c r="F117" s="14" t="str">
        <x:v>F15 Skill Runtime + Memory/Context Engine | F22 Device Nodes | F24 Auto-learning + Skill Evolution</x:v>
      </x:c>
      <x:c r="G117" s="14" t="str">
        <x:v>assumption.challenge</x:v>
      </x:c>
      <x:c r="H117" s="14" t="str">
        <x:v>Sob demanda</x:v>
      </x:c>
      <x:c r="I117" s="14" t="str">
        <x:v>Claude/Ollama</x:v>
      </x:c>
      <x:c r="J117" s="14" t="str">
        <x:v>Média</x:v>
      </x:c>
      <x:c r="K117" s="14" t="str">
        <x:v>Hypothesis/Oráculo.</x:v>
      </x:c>
      <x:c r="L117" s="14" t="str">
        <x:v>oh-my-claudecode (MIT) — multiagentes/jobs/skills/router | Hermes — patterns; validar licença por versão | OpenClaw — gateway/nodes/channels; validar licença por versão</x:v>
      </x:c>
      <x:c r="M117"/>
    </x:row>
    <x:row r="118" ht="44" customHeight="1">
      <x:c r="A118" s="14" t="str">
        <x:v>01a0e473-f65b-7843-bd00-6ec15746660c</x:v>
      </x:c>
      <x:c r="B118" s="14" t="n">
        <x:v>91</x:v>
      </x:c>
      <x:c r="C118" s="14" t="str">
        <x:v>Potentials / Aprendizes do Oráculo</x:v>
      </x:c>
      <x:c r="D118" s="14" t="str">
        <x:v>Pesquisa &amp; Inovação</x:v>
      </x:c>
      <x:c r="E118" s="14" t="str">
        <x:v>Grupo de subagentes experimentais</x:v>
      </x:c>
      <x:c r="F118" s="14" t="str">
        <x:v>F15 Skill Runtime + Memory/Context Engine | F22 Device Nodes | F24 Auto-learning + Skill Evolution | F25 Knowledge / Evidence Graph</x:v>
      </x:c>
      <x:c r="G118" s="14" t="str">
        <x:v>decision.evidence.resolve</x:v>
      </x:c>
      <x:c r="H118" s="14" t="str">
        <x:v>Sob demanda</x:v>
      </x:c>
      <x:c r="I118" s="14" t="str">
        <x:v>Ollama</x:v>
      </x:c>
      <x:c r="J118" s="14" t="str">
        <x:v>Baixa</x:v>
      </x:c>
      <x:c r="K118" s="14" t="str">
        <x:v>Oráculo/Research/Hypothesis.</x:v>
      </x:c>
      <x:c r="L118" s="14" t="str">
        <x:v>oh-my-claudecode (MIT) — multiagentes/jobs/skills/router | Hermes — patterns; validar licença por versão | OpenClaw — gateway/nodes/channels; validar licença por versão</x:v>
      </x:c>
      <x:c r="M118"/>
    </x:row>
    <x:row r="119" ht="44" customHeight="1">
      <x:c r="A119" s="14" t="str">
        <x:v>01a0e473-f65c-7e23-b1d6-7c75dec91318</x:v>
      </x:c>
      <x:c r="B119" s="14" t="n">
        <x:v>92</x:v>
      </x:c>
      <x:c r="C119" s="14" t="str">
        <x:v>Leonardo da Vinci</x:v>
      </x:c>
      <x:c r="D119" s="14" t="str">
        <x:v>Creative Studio &amp; UX</x:v>
      </x:c>
      <x:c r="E119" s="14" t="str">
        <x:v>Diretor de Design Sistêmico</x:v>
      </x:c>
      <x:c r="F119" s="14" t="str">
        <x:v>F15 Skill Runtime + Memory/Context Engine | F19 Repo Intelligence / Tree-sitter | F22 Device Nodes</x:v>
      </x:c>
      <x:c r="G119" s="14" t="str">
        <x:v>design.systemic.concept</x:v>
      </x:c>
      <x:c r="H119" s="14" t="str">
        <x:v>Sob demanda</x:v>
      </x:c>
      <x:c r="I119" s="14" t="str">
        <x:v>Claude/multimodal</x:v>
      </x:c>
      <x:c r="J119" s="14" t="str">
        <x:v>Alta</x:v>
      </x:c>
      <x:c r="K119" s="14" t="str">
        <x:v>Raphaël/Van Gogh.</x:v>
      </x:c>
      <x:c r="L119" s="14" t="str">
        <x:v>Architect (MIT) — AST/Tree-sitter/Repo Intelligence | oh-my-claudecode (MIT) — multiagentes/jobs/skills/router | Hermes — patterns; validar licença por versão</x:v>
      </x:c>
      <x:c r="M119"/>
    </x:row>
    <x:row r="120" ht="44" customHeight="1">
      <x:c r="A120" s="14" t="str">
        <x:v>01a0e473-f65d-7a1d-b60f-8f2e353f1d84</x:v>
      </x:c>
      <x:c r="B120" s="14" t="n">
        <x:v>93</x:v>
      </x:c>
      <x:c r="C120" s="14" t="str">
        <x:v>Michelângelo</x:v>
      </x:c>
      <x:c r="D120" s="14" t="str">
        <x:v>Creative Studio &amp; UX</x:v>
      </x:c>
      <x:c r="E120" s="14" t="str">
        <x:v>Mestre de Execução Visual</x:v>
      </x:c>
      <x:c r="F120" s="14" t="str">
        <x:v>F22 Device Nodes</x:v>
      </x:c>
      <x:c r="G120" s="14" t="str">
        <x:v>design.visual.execute</x:v>
      </x:c>
      <x:c r="H120" s="14" t="str">
        <x:v>Sob demanda</x:v>
      </x:c>
      <x:c r="I120" s="14" t="str">
        <x:v>Multimodal forte</x:v>
      </x:c>
      <x:c r="J120" s="14" t="str">
        <x:v>Alta</x:v>
      </x:c>
      <x:c r="K120" s="14" t="str">
        <x:v>Donatello/Beethoven/Mozart.</x:v>
      </x:c>
      <x:c r="L120" s="14" t="str">
        <x:v>OpenClaw — gateway/nodes/channels; validar licença por versão | ZeroClaw — benchmark Rust/providers/tools</x:v>
      </x:c>
      <x:c r="M120"/>
    </x:row>
    <x:row r="121" ht="44" customHeight="1">
      <x:c r="A121" s="14" t="str">
        <x:v>01a0e473-f65e-795b-b4bb-311ae6485b36</x:v>
      </x:c>
      <x:c r="B121" s="14" t="n">
        <x:v>94</x:v>
      </x:c>
      <x:c r="C121" s="14" t="str">
        <x:v>Donatello</x:v>
      </x:c>
      <x:c r="D121" s="14" t="str">
        <x:v>Creative Studio &amp; UX</x:v>
      </x:c>
      <x:c r="E121" s="14" t="str">
        <x:v>Engenheiro Criativo de Componentes</x:v>
      </x:c>
      <x:c r="F121" s="14" t="str">
        <x:v>F22 Device Nodes</x:v>
      </x:c>
      <x:c r="G121" s="14" t="str">
        <x:v>design.component.engineer</x:v>
      </x:c>
      <x:c r="H121" s="14" t="str">
        <x:v>Sob demanda</x:v>
      </x:c>
      <x:c r="I121" s="14" t="str">
        <x:v>Codex/Claude</x:v>
      </x:c>
      <x:c r="J121" s="14" t="str">
        <x:v>Alta</x:v>
      </x:c>
      <x:c r="K121" s="14" t="str">
        <x:v>UI/RAD Agent / QA visual.</x:v>
      </x:c>
      <x:c r="L121" s="14" t="str">
        <x:v>OpenClaw — gateway/nodes/channels; validar licença por versão | ZeroClaw — benchmark Rust/providers/tools</x:v>
      </x:c>
      <x:c r="M121"/>
    </x:row>
    <x:row r="122" ht="44" customHeight="1">
      <x:c r="A122" s="14" t="str">
        <x:v>01a0e473-f65f-7219-b54a-2165f244699f</x:v>
      </x:c>
      <x:c r="B122" s="14" t="n">
        <x:v>95</x:v>
      </x:c>
      <x:c r="C122" s="14" t="str">
        <x:v>Raphaël / Rafael</x:v>
      </x:c>
      <x:c r="D122" s="14" t="str">
        <x:v>Creative Studio &amp; UX</x:v>
      </x:c>
      <x:c r="E122" s="14" t="str">
        <x:v>Guardião da Harmonia</x:v>
      </x:c>
      <x:c r="F122" s="14" t="str">
        <x:v>F15 Skill Runtime + Memory/Context Engine | F22 Device Nodes</x:v>
      </x:c>
      <x:c r="G122" s="14" t="str">
        <x:v>design.harmony.guard</x:v>
      </x:c>
      <x:c r="H122" s="14" t="str">
        <x:v>Sob demanda</x:v>
      </x:c>
      <x:c r="I122" s="14" t="str">
        <x:v>Multimodal/Ollama</x:v>
      </x:c>
      <x:c r="J122" s="14" t="str">
        <x:v>Média</x:v>
      </x:c>
      <x:c r="K122" s="14" t="str">
        <x:v>Splinter/Accessibility.</x:v>
      </x:c>
      <x:c r="L122" s="14" t="str">
        <x:v>oh-my-claudecode (MIT) — multiagentes/jobs/skills/router | Hermes — patterns; validar licença por versão | OpenClaw — gateway/nodes/channels; validar licença por versão</x:v>
      </x:c>
      <x:c r="M122"/>
    </x:row>
    <x:row r="123" ht="44" customHeight="1">
      <x:c r="A123" s="14" t="str">
        <x:v>01a0e473-f660-7150-842e-9e93a93d7648</x:v>
      </x:c>
      <x:c r="B123" s="14" t="n">
        <x:v>96</x:v>
      </x:c>
      <x:c r="C123" s="14" t="str">
        <x:v>Mestre Splinter</x:v>
      </x:c>
      <x:c r="D123" s="14" t="str">
        <x:v>Creative Studio &amp; UX</x:v>
      </x:c>
      <x:c r="E123" s="14" t="str">
        <x:v>Mentor e Diretor de Crítica</x:v>
      </x:c>
      <x:c r="F123" s="14" t="str">
        <x:v>F20 Team Runtime | F25 Knowledge / Evidence Graph</x:v>
      </x:c>
      <x:c r="G123" s="14" t="str">
        <x:v>design.creative.gate</x:v>
      </x:c>
      <x:c r="H123" s="14" t="str">
        <x:v>Sob demanda</x:v>
      </x:c>
      <x:c r="I123" s="14" t="str">
        <x:v>Claude/multimodal</x:v>
      </x:c>
      <x:c r="J123" s="14" t="str">
        <x:v>Alta</x:v>
      </x:c>
      <x:c r="K123" s="14" t="str">
        <x:v>Accessibility/User Proof.</x:v>
      </x:c>
      <x:c r="L123" s="14" t="str">
        <x:v>oh-my-claudecode (MIT) — multiagentes/jobs/skills/router | ZeroClaw — benchmark Rust/providers/tools</x:v>
      </x:c>
      <x:c r="M123"/>
    </x:row>
    <x:row r="124" ht="44" customHeight="1">
      <x:c r="A124" s="14" t="str">
        <x:v>01a0e473-f661-77bb-ac3d-0d27237afbf6</x:v>
      </x:c>
      <x:c r="B124" s="14" t="n">
        <x:v>97</x:v>
      </x:c>
      <x:c r="C124" s="14" t="str">
        <x:v>Van Gogh</x:v>
      </x:c>
      <x:c r="D124" s="14" t="str">
        <x:v>Creative Studio &amp; UX</x:v>
      </x:c>
      <x:c r="E124" s="14" t="str">
        <x:v>Especialista em Cor, Emoção e Identidade</x:v>
      </x:c>
      <x:c r="F124" s="14" t="str">
        <x:v>F15 Skill Runtime + Memory/Context Engine</x:v>
      </x:c>
      <x:c r="G124" s="14" t="str">
        <x:v>design.theme.color</x:v>
      </x:c>
      <x:c r="H124" s="14" t="str">
        <x:v>Sob demanda</x:v>
      </x:c>
      <x:c r="I124" s="14" t="str">
        <x:v>Multimodal</x:v>
      </x:c>
      <x:c r="J124" s="14" t="str">
        <x:v>Média</x:v>
      </x:c>
      <x:c r="K124" s="14" t="str">
        <x:v>Raphaël/Splinter/Accessibility.</x:v>
      </x:c>
      <x:c r="L124" s="14" t="str">
        <x:v>oh-my-claudecode (MIT) — multiagentes/jobs/skills/router | Hermes — patterns; validar licença por versão</x:v>
      </x:c>
      <x:c r="M124"/>
    </x:row>
    <x:row r="125" ht="44" customHeight="1">
      <x:c r="A125" s="14" t="str">
        <x:v>01a0e473-f662-7592-be0d-691556ec288f</x:v>
      </x:c>
      <x:c r="B125" s="14" t="n">
        <x:v>98</x:v>
      </x:c>
      <x:c r="C125" s="14" t="str">
        <x:v>Beethoven</x:v>
      </x:c>
      <x:c r="D125" s="14" t="str">
        <x:v>Creative Studio &amp; UX</x:v>
      </x:c>
      <x:c r="E125" s="14" t="str">
        <x:v>Especialista em Ritmo e Movimento</x:v>
      </x:c>
      <x:c r="F125" s="14" t="str">
        <x:v>F15 Skill Runtime + Memory/Context Engine | F22 Device Nodes</x:v>
      </x:c>
      <x:c r="G125" s="14" t="str">
        <x:v>design.motion.audio</x:v>
      </x:c>
      <x:c r="H125" s="14" t="str">
        <x:v>Sob demanda</x:v>
      </x:c>
      <x:c r="I125" s="14" t="str">
        <x:v>Multimodal/Ollama</x:v>
      </x:c>
      <x:c r="J125" s="14" t="str">
        <x:v>Média</x:v>
      </x:c>
      <x:c r="K125" s="14" t="str">
        <x:v>Mozart/Vivaldi/Splinter.</x:v>
      </x:c>
      <x:c r="L125" s="14" t="str">
        <x:v>oh-my-claudecode (MIT) — multiagentes/jobs/skills/router | Hermes — patterns; validar licença por versão | OpenClaw — gateway/nodes/channels; validar licença por versão</x:v>
      </x:c>
      <x:c r="M125"/>
    </x:row>
    <x:row r="126" ht="44" customHeight="1">
      <x:c r="A126" s="14" t="str">
        <x:v>01a0e473-f663-7ba8-968d-2935c62698e3</x:v>
      </x:c>
      <x:c r="B126" s="14" t="n">
        <x:v>99</x:v>
      </x:c>
      <x:c r="C126" s="14" t="str">
        <x:v>Mozart</x:v>
      </x:c>
      <x:c r="D126" s="14" t="str">
        <x:v>Creative Studio &amp; UX</x:v>
      </x:c>
      <x:c r="E126" s="14" t="str">
        <x:v>Especialista em Fluidez e Simplicidade</x:v>
      </x:c>
      <x:c r="F126" s="14" t="str">
        <x:v>F20 Team Runtime | F25 Knowledge / Evidence Graph</x:v>
      </x:c>
      <x:c r="G126" s="14" t="str">
        <x:v>ux.simplify</x:v>
      </x:c>
      <x:c r="H126" s="14" t="str">
        <x:v>Sob demanda</x:v>
      </x:c>
      <x:c r="I126" s="14" t="str">
        <x:v>Claude/Ollama</x:v>
      </x:c>
      <x:c r="J126" s="14" t="str">
        <x:v>Média</x:v>
      </x:c>
      <x:c r="K126" s="14" t="str">
        <x:v>User Proof/Splinter.</x:v>
      </x:c>
      <x:c r="L126" s="14" t="str">
        <x:v>oh-my-claudecode (MIT) — multiagentes/jobs/skills/router | ZeroClaw — benchmark Rust/providers/tools</x:v>
      </x:c>
      <x:c r="M126"/>
    </x:row>
    <x:row r="127" ht="44" customHeight="1">
      <x:c r="A127" s="14" t="str">
        <x:v>01a0e473-f664-7319-b7b9-7b5637d211ff</x:v>
      </x:c>
      <x:c r="B127" s="14" t="n">
        <x:v>100</x:v>
      </x:c>
      <x:c r="C127" s="14" t="str">
        <x:v>Vivaldi</x:v>
      </x:c>
      <x:c r="D127" s="14" t="str">
        <x:v>Creative Studio &amp; UX</x:v>
      </x:c>
      <x:c r="E127" s="14" t="str">
        <x:v>Especialista em Variação Contextual</x:v>
      </x:c>
      <x:c r="F127" s="14" t="str">
        <x:v>F15 Skill Runtime + Memory/Context Engine</x:v>
      </x:c>
      <x:c r="G127" s="14" t="str">
        <x:v>ux.context.adapt</x:v>
      </x:c>
      <x:c r="H127" s="14" t="str">
        <x:v>Sob demanda</x:v>
      </x:c>
      <x:c r="I127" s="14" t="str">
        <x:v>Multimodal/Ollama</x:v>
      </x:c>
      <x:c r="J127" s="14" t="str">
        <x:v>Média</x:v>
      </x:c>
      <x:c r="K127" s="14" t="str">
        <x:v>Splinter/Accessibility/User Proof.</x:v>
      </x:c>
      <x:c r="L127" s="14" t="str">
        <x:v>oh-my-claudecode (MIT) — multiagentes/jobs/skills/router | Hermes — patterns; validar licença por versão</x:v>
      </x:c>
      <x:c r="M127"/>
    </x:row>
    <x:row r="128" ht="44" customHeight="1">
      <x:c r="A128" s="14" t="str">
        <x:v>01a0e473-f665-76d0-b8c6-35d37d1a3a0f</x:v>
      </x:c>
      <x:c r="B128" s="14" t="n">
        <x:v>101</x:v>
      </x:c>
      <x:c r="C128" s="14" t="str">
        <x:v>SOC Agent</x:v>
      </x:c>
      <x:c r="D128" s="14" t="str">
        <x:v>Produto &amp; Growth</x:v>
      </x:c>
      <x:c r="E128" s="14" t="str">
        <x:v>Agente social</x:v>
      </x:c>
      <x:c r="F128" s="14" t="str">
        <x:v>F18 MCP + LSP Runtime | F21 Channel Gateway | F25 Knowledge / Evidence Graph</x:v>
      </x:c>
      <x:c r="G128" s="14" t="str">
        <x:v>channel.social.operate</x:v>
      </x:c>
      <x:c r="H128" s="14" t="str">
        <x:v>Sob demanda</x:v>
      </x:c>
      <x:c r="I128" s="14" t="str">
        <x:v>Ollama/Codex</x:v>
      </x:c>
      <x:c r="J128" s="14" t="str">
        <x:v>Média</x:v>
      </x:c>
      <x:c r="K128" s="14" t="str">
        <x:v>Data Attribution/QA.</x:v>
      </x:c>
      <x:c r="L128" s="14" t="str">
        <x:v>OpenClaw — gateway/nodes/channels; validar licença por versão | ZeroClaw — benchmark Rust/providers/tools | Claw Code Rust — referência técnica/clean-room</x:v>
      </x:c>
      <x:c r="M128"/>
    </x:row>
    <x:row r="129" ht="44" customHeight="1">
      <x:c r="A129" s="14" t="str">
        <x:v>01a0e473-f666-7f5c-a943-7dde48b0f5f0</x:v>
      </x:c>
      <x:c r="B129" s="14" t="n">
        <x:v>102</x:v>
      </x:c>
      <x:c r="C129" s="14" t="str">
        <x:v>ADS Agent</x:v>
      </x:c>
      <x:c r="D129" s="14" t="str">
        <x:v>Produto &amp; Growth</x:v>
      </x:c>
      <x:c r="E129" s="14" t="str">
        <x:v>Agente de publicidade</x:v>
      </x:c>
      <x:c r="F129" s="14" t="str">
        <x:v>F15 Skill Runtime + Memory/Context Engine | F16 Scheduler + Background Jobs | F18 MCP + LSP Runtime | F20 Team Runtime | F21 Channel Gateway</x:v>
      </x:c>
      <x:c r="G129" s="14" t="str">
        <x:v>channel.ads.operate</x:v>
      </x:c>
      <x:c r="H129" s="14" t="str">
        <x:v>Sob demanda</x:v>
      </x:c>
      <x:c r="I129" s="14" t="str">
        <x:v>Ollama/Codex</x:v>
      </x:c>
      <x:c r="J129" s="14" t="str">
        <x:v>Alta</x:v>
      </x:c>
      <x:c r="K129" s="14" t="str">
        <x:v>Data Attribution/FinOps/QA.</x:v>
      </x:c>
      <x:c r="L129" s="14" t="str">
        <x:v>oh-my-claudecode (MIT) — multiagentes/jobs/skills/router | Hermes — patterns; validar licença por versão | OpenClaw — gateway/nodes/channels; validar licença por versão</x:v>
      </x:c>
      <x:c r="M129"/>
    </x:row>
    <x:row r="130" ht="44" customHeight="1">
      <x:c r="A130" s="14" t="str">
        <x:v>01a0e473-f667-7726-82af-c0b6713d8e17</x:v>
      </x:c>
      <x:c r="B130" s="14" t="n">
        <x:v>103</x:v>
      </x:c>
      <x:c r="C130" s="14" t="str">
        <x:v>Marketplace Agent</x:v>
      </x:c>
      <x:c r="D130" s="14" t="str">
        <x:v>Produto &amp; Growth</x:v>
      </x:c>
      <x:c r="E130" s="14" t="str">
        <x:v>Agente de marketplaces</x:v>
      </x:c>
      <x:c r="F130" s="14" t="str">
        <x:v>F15 Skill Runtime + Memory/Context Engine | F18 MCP + LSP Runtime | F21 Channel Gateway</x:v>
      </x:c>
      <x:c r="G130" s="14" t="str">
        <x:v>channel.marketplace.operate</x:v>
      </x:c>
      <x:c r="H130" s="14" t="str">
        <x:v>Sob demanda</x:v>
      </x:c>
      <x:c r="I130" s="14" t="str">
        <x:v>Codex/Ollama</x:v>
      </x:c>
      <x:c r="J130" s="14" t="str">
        <x:v>Alta</x:v>
      </x:c>
      <x:c r="K130" s="14" t="str">
        <x:v>Merovíngio/Data/QA.</x:v>
      </x:c>
      <x:c r="L130" s="14" t="str">
        <x:v>oh-my-claudecode (MIT) — multiagentes/jobs/skills/router | Hermes — patterns; validar licença por versão | OpenClaw — gateway/nodes/channels; validar licença por versão</x:v>
      </x:c>
      <x:c r="M130"/>
    </x:row>
    <x:row r="131" ht="44" customHeight="1">
      <x:c r="A131" s="14" t="str">
        <x:v>01a0e473-f668-758e-ac0f-2b3767ad7d2d</x:v>
      </x:c>
      <x:c r="B131" s="14" t="n">
        <x:v>104</x:v>
      </x:c>
      <x:c r="C131" s="14" t="str">
        <x:v>Data Attribution Agent</x:v>
      </x:c>
      <x:c r="D131" s="14" t="str">
        <x:v>Dados &amp; Integrações</x:v>
      </x:c>
      <x:c r="E131" s="14" t="str">
        <x:v>Agente de atribuição de dados</x:v>
      </x:c>
      <x:c r="F131" s="14" t="str">
        <x:v>F16 Scheduler + Background Jobs | F18 MCP + LSP Runtime | F21 Channel Gateway | F25 Knowledge / Evidence Graph</x:v>
      </x:c>
      <x:c r="G131" s="14" t="str">
        <x:v>data.attribution.reconcile</x:v>
      </x:c>
      <x:c r="H131" s="14" t="str">
        <x:v>Sob demanda</x:v>
      </x:c>
      <x:c r="I131" s="14" t="str">
        <x:v>Ollama</x:v>
      </x:c>
      <x:c r="J131" s="14" t="str">
        <x:v>Média</x:v>
      </x:c>
      <x:c r="K131" s="14" t="str">
        <x:v>Data/FinOps/AI Evaluation.</x:v>
      </x:c>
      <x:c r="L131" s="14" t="str">
        <x:v>oh-my-claudecode (MIT) — multiagentes/jobs/skills/router | Hermes — patterns; validar licença por versão | OpenClaw — gateway/nodes/channels; validar licença por versão</x:v>
      </x:c>
      <x:c r="M131"/>
    </x:row>
    <x:row r="132" ht="44" customHeight="1">
      <x:c r="A132" s="14" t="str">
        <x:v>01a0e473-f669-7a16-8a21-a9f42684083a</x:v>
      </x:c>
      <x:c r="B132" s="14" t="n">
        <x:v>105</x:v>
      </x:c>
      <x:c r="C132" s="14" t="str">
        <x:v>AI Evaluation Agent</x:v>
      </x:c>
      <x:c r="D132" s="14" t="str">
        <x:v>IA &amp; Conhecimento</x:v>
      </x:c>
      <x:c r="E132" s="14" t="str">
        <x:v>Agente de avaliação de IA</x:v>
      </x:c>
      <x:c r="F132" s="14" t="str">
        <x:v>F15 Skill Runtime + Memory/Context Engine | F24 Auto-learning + Skill Evolution | F25 Knowledge / Evidence Graph</x:v>
      </x:c>
      <x:c r="G132" s="14" t="str">
        <x:v>ai.eval.run</x:v>
      </x:c>
      <x:c r="H132" s="14" t="str">
        <x:v>Permanente</x:v>
      </x:c>
      <x:c r="I132" s="14" t="str">
        <x:v>Híbrido</x:v>
      </x:c>
      <x:c r="J132" s="14" t="str">
        <x:v>Alta</x:v>
      </x:c>
      <x:c r="K132" s="14" t="str">
        <x:v>Model Evaluator/QA.</x:v>
      </x:c>
      <x:c r="L132" s="14" t="str">
        <x:v>oh-my-claudecode (MIT) — multiagentes/jobs/skills/router | Hermes — patterns; validar licença por versão</x:v>
      </x:c>
      <x:c r="M132"/>
    </x:row>
    <x:row r="133" ht="44" customHeight="1">
      <x:c r="A133" s="14" t="str">
        <x:v>01a0e473-f66a-7b05-872b-8b3d724fe10a</x:v>
      </x:c>
      <x:c r="B133" s="14" t="n">
        <x:v>106</x:v>
      </x:c>
      <x:c r="C133" s="14" t="str">
        <x:v>React/TypeScript Specialist</x:v>
      </x:c>
      <x:c r="D133" s="14" t="str">
        <x:v>Engenharia &amp; Arquitetura</x:v>
      </x:c>
      <x:c r="E133" s="14" t="str">
        <x:v>Agente especialista legado</x:v>
      </x:c>
      <x:c r="F133" s="14" t="str">
        <x:v>F15 Skill Runtime + Memory/Context Engine | F18 MCP + LSP Runtime | F19 Repo Intelligence / Tree-sitter | F22 Device Nodes</x:v>
      </x:c>
      <x:c r="G133" s="14" t="str">
        <x:v>legacy.web.react.manage</x:v>
      </x:c>
      <x:c r="H133" s="14" t="str">
        <x:v>Sob demanda</x:v>
      </x:c>
      <x:c r="I133" s="14" t="str">
        <x:v>Codex</x:v>
      </x:c>
      <x:c r="J133" s="14" t="str">
        <x:v>Média</x:v>
      </x:c>
      <x:c r="K133" s="14" t="str">
        <x:v>Merovíngio/Octopus/QA.</x:v>
      </x:c>
      <x:c r="L133" s="14" t="str">
        <x:v>Architect (MIT) — AST/Tree-sitter/Repo Intelligence | oh-my-claudecode (MIT) — multiagentes/jobs/skills/router | Hermes — patterns; validar licença por versão</x:v>
      </x:c>
      <x:c r="M133"/>
    </x:row>
    <x:row r="134" ht="44" customHeight="1">
      <x:c r="A134" s="14" t="str">
        <x:v>01a0e473-f66b-753d-9b63-ff887cd361d2</x:v>
      </x:c>
      <x:c r="B134" s="14" t="n">
        <x:v>107</x:v>
      </x:c>
      <x:c r="C134" s="14" t="str">
        <x:v>Rust API/Domain Engineer</x:v>
      </x:c>
      <x:c r="D134" s="14" t="str">
        <x:v>Engenharia &amp; Arquitetura</x:v>
      </x:c>
      <x:c r="E134" s="14" t="str">
        <x:v>Subagente Rust</x:v>
      </x:c>
      <x:c r="F134" s="14" t="str">
        <x:v>F15 Skill Runtime + Memory/Context Engine | F18 MCP + LSP Runtime | F19 Repo Intelligence / Tree-sitter | F22 Device Nodes | F23 Secret &amp; Credential Broker</x:v>
      </x:c>
      <x:c r="G134" s="14" t="str">
        <x:v>rust.domain.implement</x:v>
      </x:c>
      <x:c r="H134" s="14" t="str">
        <x:v>Sob demanda</x:v>
      </x:c>
      <x:c r="I134" s="14" t="str">
        <x:v>Codex</x:v>
      </x:c>
      <x:c r="J134" s="14" t="str">
        <x:v>Alta</x:v>
      </x:c>
      <x:c r="K134" s="14" t="str">
        <x:v>Jones/Thompson.</x:v>
      </x:c>
      <x:c r="L134" s="14" t="str">
        <x:v>Architect (MIT) — AST/Tree-sitter/Repo Intelligence | oh-my-claudecode (MIT) — multiagentes/jobs/skills/router | Hermes — patterns; validar licença por versão</x:v>
      </x:c>
      <x:c r="M134"/>
    </x:row>
    <x:row r="135" ht="44" customHeight="1">
      <x:c r="A135" s="14" t="str">
        <x:v>01a0e473-f66c-74ab-b32c-240f0bfd2eaa</x:v>
      </x:c>
      <x:c r="B135" s="14" t="n">
        <x:v>108</x:v>
      </x:c>
      <x:c r="C135" s="14" t="str">
        <x:v>Rust Worker Engineer</x:v>
      </x:c>
      <x:c r="D135" s="14" t="str">
        <x:v>Engenharia &amp; Arquitetura</x:v>
      </x:c>
      <x:c r="E135" s="14" t="str">
        <x:v>Subagente Rust</x:v>
      </x:c>
      <x:c r="F135" s="14" t="str">
        <x:v>F15 Skill Runtime + Memory/Context Engine | F16 Scheduler + Background Jobs | F18 MCP + LSP Runtime | F19 Repo Intelligence / Tree-sitter | F22 Device Nodes</x:v>
      </x:c>
      <x:c r="G135" s="14" t="str">
        <x:v>job.worker.implement</x:v>
      </x:c>
      <x:c r="H135" s="14" t="str">
        <x:v>Sob demanda</x:v>
      </x:c>
      <x:c r="I135" s="14" t="str">
        <x:v>Codex</x:v>
      </x:c>
      <x:c r="J135" s="14" t="str">
        <x:v>Alta</x:v>
      </x:c>
      <x:c r="K135" s="14" t="str">
        <x:v>Performance/QA2.</x:v>
      </x:c>
      <x:c r="L135" s="14" t="str">
        <x:v>Architect (MIT) — AST/Tree-sitter/Repo Intelligence | oh-my-claudecode (MIT) — multiagentes/jobs/skills/router | Hermes — patterns; validar licença por versão</x:v>
      </x:c>
      <x:c r="M135"/>
    </x:row>
    <x:row r="136" ht="44" customHeight="1">
      <x:c r="A136" s="14" t="str">
        <x:v>01a0e473-f66d-7a71-9cf4-4f1bbb4362b7</x:v>
      </x:c>
      <x:c r="B136" s="14" t="n">
        <x:v>109</x:v>
      </x:c>
      <x:c r="C136" s="14" t="str">
        <x:v>Connector Platform Agent</x:v>
      </x:c>
      <x:c r="D136" s="14" t="str">
        <x:v>Dados &amp; Integrações</x:v>
      </x:c>
      <x:c r="E136" s="14" t="str">
        <x:v>Agente de conectores</x:v>
      </x:c>
      <x:c r="F136" s="14" t="str">
        <x:v>F15 Skill Runtime + Memory/Context Engine | F17 Checkpoint + Rollback | F18 MCP + LSP Runtime | F21 Channel Gateway | F22 Device Nodes | F23 Secret &amp; Credential Broker | F25 Knowledge / Evidence Graph</x:v>
      </x:c>
      <x:c r="G136" s="14" t="str">
        <x:v>connector.platform.manage</x:v>
      </x:c>
      <x:c r="H136" s="14" t="str">
        <x:v>Sob demanda</x:v>
      </x:c>
      <x:c r="I136" s="14" t="str">
        <x:v>Codex</x:v>
      </x:c>
      <x:c r="J136" s="14" t="str">
        <x:v>Alta</x:v>
      </x:c>
      <x:c r="K136" s="14" t="str">
        <x:v>Security/Integration.</x:v>
      </x:c>
      <x:c r="L136" s="14" t="str">
        <x:v>oh-my-claudecode (MIT) — multiagentes/jobs/skills/router | Hermes — patterns; validar licença por versão | OpenClaw — gateway/nodes/channels; validar licença por versão</x:v>
      </x:c>
      <x:c r="M136"/>
    </x:row>
    <x:row r="137" ht="44" customHeight="1">
      <x:c r="A137" s="14" t="str">
        <x:v>01a0e473-f66e-700e-bed6-715110ebbc7c</x:v>
      </x:c>
      <x:c r="B137" s="14" t="n">
        <x:v>110</x:v>
      </x:c>
      <x:c r="C137" s="14" t="str">
        <x:v>Zelador de Espaço / Storage Steward</x:v>
      </x:c>
      <x:c r="D137" s="14" t="str">
        <x:v>Operações &amp; Infraestrutura</x:v>
      </x:c>
      <x:c r="E137" s="14" t="str">
        <x:v>Agente de higiene de storage</x:v>
      </x:c>
      <x:c r="F137" s="14" t="str">
        <x:v>F15 Skill Runtime + Memory/Context Engine | F17 Checkpoint + Rollback | F22 Device Nodes</x:v>
      </x:c>
      <x:c r="G137" s="14" t="str">
        <x:v>storage.lifecycle.manage</x:v>
      </x:c>
      <x:c r="H137" s="14" t="str">
        <x:v>Permanente</x:v>
      </x:c>
      <x:c r="I137" s="14" t="str">
        <x:v>Ollama/Determinístico</x:v>
      </x:c>
      <x:c r="J137" s="14" t="str">
        <x:v>Alta</x:v>
      </x:c>
      <x:c r="K137" s="14" t="str">
        <x:v>SRE/Artifact Manager/Backup.</x:v>
      </x:c>
      <x:c r="L137" s="14" t="str">
        <x:v>oh-my-claudecode (MIT) — multiagentes/jobs/skills/router | Hermes — patterns; validar licença por versão | OpenClaw — gateway/nodes/channels; validar licença por versão</x:v>
      </x:c>
      <x:c r="M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</x:row>
  </x:sheetData>
  <x:mergeCells>
    <x:mergeCell ref="A1:F1"/>
    <x:mergeCell ref="A10:F10"/>
    <x:mergeCell ref="A20:F20"/>
    <x:mergeCell ref="A1:M1"/>
  </x:mergeCells>
  <x:conditionalFormatting sqref="J28:J137">
    <x:cfRule type="expression" dxfId="9" priority="1">
      <x:formula>J28="Crítica"</x:formula>
    </x:cfRule>
    <x:cfRule type="expression" dxfId="10" priority="2">
      <x:formula>J28="Alta"</x:formula>
    </x:cfRule>
  </x:conditionalFormatting>
  <x:conditionalFormatting sqref="A28:L137">
    <x:cfRule type="expression" dxfId="11" priority="3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c464c1e1f7424cd5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" hidden="0" customWidth="1"/>
    <x:col min="3" max="3" width="30" hidden="0" customWidth="1"/>
    <x:col min="4" max="4" width="50" hidden="0" customWidth="1"/>
    <x:col min="5" max="5" width="32" hidden="0" customWidth="1"/>
    <x:col min="6" max="6" width="38" hidden="0" customWidth="1"/>
    <x:col min="7" max="7" width="40" hidden="0" customWidth="1"/>
    <x:col min="8" max="8" width="38" hidden="0" customWidth="1"/>
    <x:col min="9" max="9" width="32" hidden="0" customWidth="1"/>
    <x:col min="10" max="10" width="44" hidden="0" customWidth="1"/>
    <x:col min="11" max="11" width="44" hidden="0" customWidth="1"/>
    <x:col min="12" max="12" width="48" hidden="0" customWidth="1"/>
    <x:col min="13" max="13" width="45" hidden="0" customWidth="1"/>
    <x:col min="14" max="14" width="50" hidden="0" customWidth="1"/>
  </x:cols>
  <x:sheetData>
    <x:row r="1">
      <x:c r="A1" s="23" t="str">
        <x:v>PHOENIXCLAW — Fluxos de Trabalho e Gates</x:v>
      </x:c>
      <x:c r="B1" s="23"/>
      <x:c r="C1" s="23"/>
      <x:c r="D1" s="23"/>
      <x:c r="E1" s="23"/>
      <x:c r="F1" s="23"/>
    </x:row>
    <x:row r="3">
      <x:c r="A3" s="6" t="str">
        <x:v>Fluxo</x:v>
      </x:c>
      <x:c r="B3" s="6" t="str">
        <x:v>Etapa</x:v>
      </x:c>
      <x:c r="C3" s="6" t="str">
        <x:v>Agente/Papel</x:v>
      </x:c>
      <x:c r="D3" s="6" t="str">
        <x:v>Objetivo</x:v>
      </x:c>
      <x:c r="E3" s="6" t="str">
        <x:v>Gate/Evidência</x:v>
      </x:c>
      <x:c r="F3" s="6" t="str">
        <x:v>Próximo</x:v>
      </x:c>
    </x:row>
    <x:row r="4" ht="38" customHeight="1">
      <x:c r="A4" s="12" t="str">
        <x:v>Feature padrão</x:v>
      </x:c>
      <x:c r="B4" s="12" t="n">
        <x:v>1</x:v>
      </x:c>
      <x:c r="C4" s="12" t="str">
        <x:v>Analista</x:v>
      </x:c>
      <x:c r="D4" s="12" t="str">
        <x:v>Escopo/MVP/aceite</x:v>
      </x:c>
      <x:c r="E4" s="12" t="str">
        <x:v>Requirement + Acceptance Criteria</x:v>
      </x:c>
      <x:c r="F4" s="12" t="str">
        <x:v>Arquiteto</x:v>
      </x:c>
    </x:row>
    <x:row r="5" ht="38" customHeight="1">
      <x:c r="A5" s="12" t="str">
        <x:v>Feature padrão</x:v>
      </x:c>
      <x:c r="B5" s="12" t="n">
        <x:v>2</x:v>
      </x:c>
      <x:c r="C5" s="12" t="str">
        <x:v>Arquiteto</x:v>
      </x:c>
      <x:c r="D5" s="12" t="str">
        <x:v>Módulos/limites/trade-offs</x:v>
      </x:c>
      <x:c r="E5" s="12" t="str">
        <x:v>ADR</x:v>
      </x:c>
      <x:c r="F5" s="12" t="str">
        <x:v>Chaveiro</x:v>
      </x:c>
    </x:row>
    <x:row r="6" ht="38" customHeight="1">
      <x:c r="A6" s="12" t="str">
        <x:v>Feature padrão</x:v>
      </x:c>
      <x:c r="B6" s="12" t="n">
        <x:v>3</x:v>
      </x:c>
      <x:c r="C6" s="12" t="str">
        <x:v>Chaveiro</x:v>
      </x:c>
      <x:c r="D6" s="12" t="str">
        <x:v>Contratos/interfaces/schemas/auth</x:v>
      </x:c>
      <x:c r="E6" s="12" t="str">
        <x:v>Contract tests/spec</x:v>
      </x:c>
      <x:c r="F6" s="12" t="str">
        <x:v>Johnson</x:v>
      </x:c>
    </x:row>
    <x:row r="7" ht="38" customHeight="1">
      <x:c r="A7" s="12" t="str">
        <x:v>Feature padrão</x:v>
      </x:c>
      <x:c r="B7" s="12" t="n">
        <x:v>4</x:v>
      </x:c>
      <x:c r="C7" s="12" t="str">
        <x:v>Johnson</x:v>
      </x:c>
      <x:c r="D7" s="12" t="str">
        <x:v>Implementação</x:v>
      </x:c>
      <x:c r="E7" s="12" t="str">
        <x:v>Patch compilável</x:v>
      </x:c>
      <x:c r="F7" s="12" t="str">
        <x:v>Jones</x:v>
      </x:c>
    </x:row>
    <x:row r="8" ht="38" customHeight="1">
      <x:c r="A8" s="12" t="str">
        <x:v>Feature padrão</x:v>
      </x:c>
      <x:c r="B8" s="12" t="n">
        <x:v>5</x:v>
      </x:c>
      <x:c r="C8" s="12" t="str">
        <x:v>Jones</x:v>
      </x:c>
      <x:c r="D8" s="12" t="str">
        <x:v>Testes/regressão</x:v>
      </x:c>
      <x:c r="E8" s="12" t="str">
        <x:v>Test Evidence</x:v>
      </x:c>
      <x:c r="F8" s="12" t="str">
        <x:v>Thompson</x:v>
      </x:c>
    </x:row>
    <x:row r="9" ht="38" customHeight="1">
      <x:c r="A9" s="12" t="str">
        <x:v>Feature padrão</x:v>
      </x:c>
      <x:c r="B9" s="12" t="n">
        <x:v>6</x:v>
      </x:c>
      <x:c r="C9" s="12" t="str">
        <x:v>Thompson</x:v>
      </x:c>
      <x:c r="D9" s="12" t="str">
        <x:v>Segurança</x:v>
      </x:c>
      <x:c r="E9" s="12" t="str">
        <x:v>Security Gate</x:v>
      </x:c>
      <x:c r="F9" s="12" t="str">
        <x:v>Perséfone</x:v>
      </x:c>
    </x:row>
    <x:row r="10" ht="38" customHeight="1">
      <x:c r="A10" s="12" t="str">
        <x:v>Feature padrão</x:v>
      </x:c>
      <x:c r="B10" s="12" t="n">
        <x:v>7</x:v>
      </x:c>
      <x:c r="C10" s="12" t="str">
        <x:v>Perséfone</x:v>
      </x:c>
      <x:c r="D10" s="12" t="str">
        <x:v>Documentar realidade</x:v>
      </x:c>
      <x:c r="E10" s="12" t="str">
        <x:v>Docs sincronizadas</x:v>
      </x:c>
      <x:c r="F10" s="12" t="str">
        <x:v>QA1 | Source Registry rust-official + cache offline indexado</x:v>
      </x:c>
      <x:c r="M10" t="str">
        <x:v>Leitura Rust exige capability knowledge.rust.read; online só para frescor/verificação.</x:v>
      </x:c>
    </x:row>
    <x:row r="11" ht="38" customHeight="1">
      <x:c r="A11" s="12" t="str">
        <x:v>Feature padrão</x:v>
      </x:c>
      <x:c r="B11" s="12" t="n">
        <x:v>8</x:v>
      </x:c>
      <x:c r="C11" s="12" t="str">
        <x:v>QA1</x:v>
      </x:c>
      <x:c r="D11" s="12" t="str">
        <x:v>Qualidade local</x:v>
      </x:c>
      <x:c r="E11" s="12" t="str">
        <x:v>QA1 PASS</x:v>
      </x:c>
      <x:c r="F11" s="12" t="str">
        <x:v>QA2</x:v>
      </x:c>
    </x:row>
    <x:row r="12" ht="38" customHeight="1">
      <x:c r="A12" s="12" t="str">
        <x:v>Feature padrão</x:v>
      </x:c>
      <x:c r="B12" s="12" t="n">
        <x:v>9</x:v>
      </x:c>
      <x:c r="C12" s="12" t="str">
        <x:v>QA2</x:v>
      </x:c>
      <x:c r="D12" s="12" t="str">
        <x:v>Integração/regressão</x:v>
      </x:c>
      <x:c r="E12" s="12" t="str">
        <x:v>QA2 PASS</x:v>
      </x:c>
      <x:c r="F12" s="12" t="str">
        <x:v>OPA</x:v>
      </x:c>
    </x:row>
    <x:row r="13" ht="38" customHeight="1">
      <x:c r="A13" s="12" t="str">
        <x:v>Feature padrão</x:v>
      </x:c>
      <x:c r="B13" s="12" t="n">
        <x:v>10</x:v>
      </x:c>
      <x:c r="C13" s="12" t="str">
        <x:v>OPA</x:v>
      </x:c>
      <x:c r="D13" s="12" t="str">
        <x:v>Provar objetivo real</x:v>
      </x:c>
      <x:c r="E13" s="12" t="str">
        <x:v>Objective PROVEN</x:v>
      </x:c>
      <x:c r="F13" s="12" t="str">
        <x:v>QA3</x:v>
      </x:c>
    </x:row>
    <x:row r="14" ht="38" customHeight="1">
      <x:c r="A14" s="12" t="str">
        <x:v>Feature padrão</x:v>
      </x:c>
      <x:c r="B14" s="12" t="n">
        <x:v>11</x:v>
      </x:c>
      <x:c r="C14" s="12" t="str">
        <x:v>QA3</x:v>
      </x:c>
      <x:c r="D14" s="12" t="str">
        <x:v>Gate final</x:v>
      </x:c>
      <x:c r="E14" s="12" t="str">
        <x:v>APPROVED</x:v>
      </x:c>
      <x:c r="F14" s="12" t="str">
        <x:v>Versionador</x:v>
      </x:c>
    </x:row>
    <x:row r="15" ht="38" customHeight="1">
      <x:c r="A15" s="12" t="str">
        <x:v>Feature padrão</x:v>
      </x:c>
      <x:c r="B15" s="12" t="n">
        <x:v>12</x:v>
      </x:c>
      <x:c r="C15" s="12" t="str">
        <x:v>Versionador</x:v>
      </x:c>
      <x:c r="D15" s="12" t="str">
        <x:v>SemVer/changelog</x:v>
      </x:c>
      <x:c r="E15" s="12" t="str">
        <x:v>Version decision</x:v>
      </x:c>
      <x:c r="F15" s="12" t="str">
        <x:v>Release Manager</x:v>
      </x:c>
    </x:row>
    <x:row r="16" ht="38" customHeight="1">
      <x:c r="A16" s="12" t="str">
        <x:v>Bug</x:v>
      </x:c>
      <x:c r="B16" s="12" t="n">
        <x:v>1</x:v>
      </x:c>
      <x:c r="C16" s="12" t="str">
        <x:v>Brown</x:v>
      </x:c>
      <x:c r="D16" s="12" t="str">
        <x:v>Reproduzir e causa raiz</x:v>
      </x:c>
      <x:c r="E16" s="12" t="str">
        <x:v>Root Cause Report</x:v>
      </x:c>
      <x:c r="F16" s="12" t="str">
        <x:v>Jones</x:v>
      </x:c>
    </x:row>
    <x:row r="17" ht="38" customHeight="1">
      <x:c r="A17" s="12" t="str">
        <x:v>Bug</x:v>
      </x:c>
      <x:c r="B17" s="12" t="n">
        <x:v>2</x:v>
      </x:c>
      <x:c r="C17" s="12" t="str">
        <x:v>Jones</x:v>
      </x:c>
      <x:c r="D17" s="12" t="str">
        <x:v>Teste vermelho</x:v>
      </x:c>
      <x:c r="E17" s="12" t="str">
        <x:v>Regression test FAIL</x:v>
      </x:c>
      <x:c r="F17" s="12" t="str">
        <x:v>Johnson</x:v>
      </x:c>
    </x:row>
    <x:row r="18" ht="38" customHeight="1">
      <x:c r="A18" s="12" t="str">
        <x:v>Bug</x:v>
      </x:c>
      <x:c r="B18" s="12" t="n">
        <x:v>3</x:v>
      </x:c>
      <x:c r="C18" s="12" t="str">
        <x:v>Johnson</x:v>
      </x:c>
      <x:c r="D18" s="12" t="str">
        <x:v>Correção</x:v>
      </x:c>
      <x:c r="E18" s="12" t="str">
        <x:v>Patch</x:v>
      </x:c>
      <x:c r="F18" s="12" t="str">
        <x:v>Jones/Regression</x:v>
      </x:c>
    </x:row>
    <x:row r="19" ht="38" customHeight="1">
      <x:c r="A19" s="12" t="str">
        <x:v>Bug</x:v>
      </x:c>
      <x:c r="B19" s="12" t="n">
        <x:v>4</x:v>
      </x:c>
      <x:c r="C19" s="12" t="str">
        <x:v>Regression Agent</x:v>
      </x:c>
      <x:c r="D19" s="12" t="str">
        <x:v>Provar não regressão</x:v>
      </x:c>
      <x:c r="E19" s="12" t="str">
        <x:v>Regression PASS</x:v>
      </x:c>
      <x:c r="F19" s="12" t="str">
        <x:v>Thompson/QA</x:v>
      </x:c>
    </x:row>
    <x:row r="20" ht="38" customHeight="1">
      <x:c r="A20" s="12" t="str">
        <x:v>Performance</x:v>
      </x:c>
      <x:c r="B20" s="12" t="n">
        <x:v>1</x:v>
      </x:c>
      <x:c r="C20" s="12" t="str">
        <x:v>Jackson</x:v>
      </x:c>
      <x:c r="D20" s="12" t="str">
        <x:v>Baseline + profiling</x:v>
      </x:c>
      <x:c r="E20" s="12" t="str">
        <x:v>Before metrics</x:v>
      </x:c>
      <x:c r="F20" s="12" t="str">
        <x:v>Johnson</x:v>
      </x:c>
    </x:row>
    <x:row r="21" ht="38" customHeight="1">
      <x:c r="A21" s="12" t="str">
        <x:v>Performance</x:v>
      </x:c>
      <x:c r="B21" s="12" t="n">
        <x:v>2</x:v>
      </x:c>
      <x:c r="C21" s="12" t="str">
        <x:v>Johnson</x:v>
      </x:c>
      <x:c r="D21" s="12" t="str">
        <x:v>Otimização</x:v>
      </x:c>
      <x:c r="E21" s="12" t="str">
        <x:v>Patch</x:v>
      </x:c>
      <x:c r="F21" s="12" t="str">
        <x:v>Jackson</x:v>
      </x:c>
    </x:row>
    <x:row r="22" ht="38" customHeight="1">
      <x:c r="A22" s="12" t="str">
        <x:v>Performance</x:v>
      </x:c>
      <x:c r="B22" s="12" t="n">
        <x:v>3</x:v>
      </x:c>
      <x:c r="C22" s="12" t="str">
        <x:v>Jackson</x:v>
      </x:c>
      <x:c r="D22" s="12" t="str">
        <x:v>Benchmark after</x:v>
      </x:c>
      <x:c r="E22" s="12" t="str">
        <x:v>Before/After evidence</x:v>
      </x:c>
      <x:c r="F22" s="12" t="str">
        <x:v>Performance Test/QA</x:v>
      </x:c>
    </x:row>
    <x:row r="23" ht="38" customHeight="1">
      <x:c r="A23" s="12" t="str">
        <x:v>Pesquisa</x:v>
      </x:c>
      <x:c r="B23" s="12" t="n">
        <x:v>1</x:v>
      </x:c>
      <x:c r="C23" s="12" t="str">
        <x:v>Research Lead/Agent</x:v>
      </x:c>
      <x:c r="D23" s="12" t="str">
        <x:v>Coletar evidências</x:v>
      </x:c>
      <x:c r="E23" s="12" t="str">
        <x:v>Research Pack</x:v>
      </x:c>
      <x:c r="F23" s="12" t="str">
        <x:v>Hypothesis</x:v>
      </x:c>
    </x:row>
    <x:row r="24" ht="38" customHeight="1">
      <x:c r="A24" s="12" t="str">
        <x:v>Pesquisa</x:v>
      </x:c>
      <x:c r="B24" s="12" t="n">
        <x:v>2</x:v>
      </x:c>
      <x:c r="C24" s="12" t="str">
        <x:v>Hypothesis Agent</x:v>
      </x:c>
      <x:c r="D24" s="12" t="str">
        <x:v>Hipótese testável</x:v>
      </x:c>
      <x:c r="E24" s="12" t="str">
        <x:v>Hypothesis UUIDv7</x:v>
      </x:c>
      <x:c r="F24" s="12" t="str">
        <x:v>Mouse/Potentials</x:v>
      </x:c>
    </x:row>
    <x:row r="25" ht="38" customHeight="1">
      <x:c r="A25" s="12" t="str">
        <x:v>Pesquisa</x:v>
      </x:c>
      <x:c r="B25" s="12" t="n">
        <x:v>3</x:v>
      </x:c>
      <x:c r="C25" s="12" t="str">
        <x:v>Mouse/Potentials</x:v>
      </x:c>
      <x:c r="D25" s="12" t="str">
        <x:v>Experimento</x:v>
      </x:c>
      <x:c r="E25" s="12" t="str">
        <x:v>Prototype Evidence</x:v>
      </x:c>
      <x:c r="F25" s="12" t="str">
        <x:v>Oráculo</x:v>
      </x:c>
    </x:row>
    <x:row r="26" ht="38" customHeight="1">
      <x:c r="A26" s="12" t="str">
        <x:v>Pesquisa</x:v>
      </x:c>
      <x:c r="B26" s="12" t="n">
        <x:v>4</x:v>
      </x:c>
      <x:c r="C26" s="12" t="str">
        <x:v>Oráculo</x:v>
      </x:c>
      <x:c r="D26" s="12" t="str">
        <x:v>Decisão baseada em evidência</x:v>
      </x:c>
      <x:c r="E26" s="12" t="str">
        <x:v>Decision Record</x:v>
      </x:c>
      <x:c r="F26" s="12" t="str">
        <x:v>Arquiteto/RFC</x:v>
      </x:c>
    </x:row>
    <x:row r="27" ht="38" customHeight="1">
      <x:c r="A27" s="12" t="str">
        <x:v>Creative Studio</x:v>
      </x:c>
      <x:c r="B27" s="12" t="n">
        <x:v>1</x:v>
      </x:c>
      <x:c r="C27" s="12" t="str">
        <x:v>Leonardo</x:v>
      </x:c>
      <x:c r="D27" s="12" t="str">
        <x:v>Conceito/fluxo</x:v>
      </x:c>
      <x:c r="E27" s="12" t="str">
        <x:v>Wireframe/flow</x:v>
      </x:c>
      <x:c r="F27" s="12" t="str">
        <x:v>Raphaël + Van Gogh</x:v>
      </x:c>
    </x:row>
    <x:row r="28" ht="38" customHeight="1">
      <x:c r="A28" s="12" t="str">
        <x:v>Creative Studio</x:v>
      </x:c>
      <x:c r="B28" s="12" t="n">
        <x:v>2</x:v>
      </x:c>
      <x:c r="C28" s="12" t="str">
        <x:v>Raphaël + Van Gogh</x:v>
      </x:c>
      <x:c r="D28" s="12" t="str">
        <x:v>Harmonia/identidade</x:v>
      </x:c>
      <x:c r="E28" s="12" t="str">
        <x:v>Visual system</x:v>
      </x:c>
      <x:c r="F28" s="12" t="str">
        <x:v>Michelângelo + Donatello</x:v>
      </x:c>
    </x:row>
    <x:row r="29" ht="38" customHeight="1">
      <x:c r="A29" s="12" t="str">
        <x:v>Creative Studio</x:v>
      </x:c>
      <x:c r="B29" s="12" t="n">
        <x:v>3</x:v>
      </x:c>
      <x:c r="C29" s="12" t="str">
        <x:v>Michelângelo + Donatello</x:v>
      </x:c>
      <x:c r="D29" s="12" t="str">
        <x:v>Execução/componentização</x:v>
      </x:c>
      <x:c r="E29" s="12" t="str">
        <x:v>High-fi + components</x:v>
      </x:c>
      <x:c r="F29" s="12" t="str">
        <x:v>Beethoven/Mozart/Vivaldi</x:v>
      </x:c>
    </x:row>
    <x:row r="30" ht="38" customHeight="1">
      <x:c r="A30" s="12" t="str">
        <x:v>Creative Studio</x:v>
      </x:c>
      <x:c r="B30" s="12" t="n">
        <x:v>4</x:v>
      </x:c>
      <x:c r="C30" s="12" t="str">
        <x:v>Beethoven/Mozart/Vivaldi</x:v>
      </x:c>
      <x:c r="D30" s="12" t="str">
        <x:v>Movimento/fluidez/contexto</x:v>
      </x:c>
      <x:c r="E30" s="12" t="str">
        <x:v>Interaction spec</x:v>
      </x:c>
      <x:c r="F30" s="12" t="str">
        <x:v>Mestre Splinter</x:v>
      </x:c>
    </x:row>
    <x:row r="31" ht="38" customHeight="1">
      <x:c r="A31" s="12" t="str">
        <x:v>Creative Studio</x:v>
      </x:c>
      <x:c r="B31" s="12" t="n">
        <x:v>5</x:v>
      </x:c>
      <x:c r="C31" s="12" t="str">
        <x:v>Mestre Splinter</x:v>
      </x:c>
      <x:c r="D31" s="12" t="str">
        <x:v>Crítica/gate criativo</x:v>
      </x:c>
      <x:c r="E31" s="12" t="str">
        <x:v>Creative PASS</x:v>
      </x:c>
      <x:c r="F31" s="12" t="str">
        <x:v>Accessibility</x:v>
      </x:c>
    </x:row>
    <x:row r="32" ht="38" customHeight="1">
      <x:c r="A32" s="12" t="str">
        <x:v>Creative Studio</x:v>
      </x:c>
      <x:c r="B32" s="12" t="n">
        <x:v>6</x:v>
      </x:c>
      <x:c r="C32" s="12" t="str">
        <x:v>Accessibility Agent</x:v>
      </x:c>
      <x:c r="D32" s="12" t="str">
        <x:v>Acessibilidade</x:v>
      </x:c>
      <x:c r="E32" s="12" t="str">
        <x:v>Accessibility PASS</x:v>
      </x:c>
      <x:c r="F32" s="12" t="str">
        <x:v>User Proof</x:v>
      </x:c>
    </x:row>
    <x:row r="33" ht="38" customHeight="1">
      <x:c r="A33" s="12" t="str">
        <x:v>Creative Studio</x:v>
      </x:c>
      <x:c r="B33" s="12" t="n">
        <x:v>7</x:v>
      </x:c>
      <x:c r="C33" s="12" t="str">
        <x:v>User Proof</x:v>
      </x:c>
      <x:c r="D33" s="12" t="str">
        <x:v>Usabilidade real</x:v>
      </x:c>
      <x:c r="E33" s="12" t="str">
        <x:v>Usability Proof</x:v>
      </x:c>
      <x:c r="F33" s="12" t="str">
        <x:v>QA</x:v>
      </x:c>
    </x:row>
    <x:row r="34" ht="38" customHeight="1">
      <x:c r="A34" s="12" t="str">
        <x:v>Incidente</x:v>
      </x:c>
      <x:c r="B34" s="12" t="n">
        <x:v>1</x:v>
      </x:c>
      <x:c r="C34" s="12" t="str">
        <x:v>Niobe</x:v>
      </x:c>
      <x:c r="D34" s="12" t="str">
        <x:v>Comando do incidente</x:v>
      </x:c>
      <x:c r="E34" s="12" t="str">
        <x:v>Incident timeline</x:v>
      </x:c>
      <x:c r="F34" s="12" t="str">
        <x:v>Brown/SRE/Restore</x:v>
      </x:c>
    </x:row>
    <x:row r="35" ht="38" customHeight="1">
      <x:c r="A35" s="12" t="str">
        <x:v>Incidente</x:v>
      </x:c>
      <x:c r="B35" s="12" t="n">
        <x:v>2</x:v>
      </x:c>
      <x:c r="C35" s="12" t="str">
        <x:v>Brown + SRE + Restore</x:v>
      </x:c>
      <x:c r="D35" s="12" t="str">
        <x:v>Causa/contenção/recuperação</x:v>
      </x:c>
      <x:c r="E35" s="12" t="str">
        <x:v>Recovery evidence</x:v>
      </x:c>
      <x:c r="F35" s="12" t="str">
        <x:v>Postmortem/QA</x:v>
      </x:c>
    </x:row>
    <x:row r="38">
      <x:c r="A38" s="44" t="str">
        <x:v>MATRIZ INDIVIDUAL — 110 PAPÉIS • TASK / POLICY / EVIDENCE / ROLLBACK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>
      <x:c r="A39" s="41" t="str">
        <x:v>UUIDv7</x:v>
      </x:c>
      <x:c r="B39" s="41" t="str">
        <x:v>ID</x:v>
      </x:c>
      <x:c r="C39" s="41" t="str">
        <x:v>Agente / Subagente</x:v>
      </x:c>
      <x:c r="D39" s="41" t="str">
        <x:v>Módulos</x:v>
      </x:c>
      <x:c r="E39" s="41" t="str">
        <x:v>Trigger</x:v>
      </x:c>
      <x:c r="F39" s="41" t="str">
        <x:v>Entradas / Dependências</x:v>
      </x:c>
      <x:c r="G39" s="41" t="str">
        <x:v>Ação autorizada</x:v>
      </x:c>
      <x:c r="H39" s="41" t="str">
        <x:v>Gate / Evidência</x:v>
      </x:c>
      <x:c r="I39" s="41" t="str">
        <x:v>Destino</x:v>
      </x:c>
      <x:c r="J39" s="41" t="str">
        <x:v>Event Topics</x:v>
      </x:c>
      <x:c r="K39" s="41" t="str">
        <x:v>Background / Lease</x:v>
      </x:c>
      <x:c r="L39" s="41" t="str">
        <x:v>Checkpoint / Rollback</x:v>
      </x:c>
      <x:c r="M39" s="41" t="str">
        <x:v>Aprovação humana</x:v>
      </x:c>
      <x:c r="N39" s="41" t="str">
        <x:v>Falha / Retry / Observabilidade</x:v>
      </x:c>
    </x:row>
    <x:row r="40" ht="64" customHeight="1">
      <x:c r="A40" s="14" t="str">
        <x:v>01a0e473-f601-710f-a4c9-f0e852a63358</x:v>
      </x:c>
      <x:c r="B40" s="14" t="n">
        <x:v>1</x:v>
      </x:c>
      <x:c r="C40" s="14" t="str">
        <x:v>Product Owner – Humano</x:v>
      </x:c>
      <x:c r="D40" s="14" t="str">
        <x:v>F15 Skill Runtime + Memory/Context Engine | F17 Checkpoint + Rollback | F20 Team Runtime</x:v>
      </x:c>
      <x:c r="E40" s="14" t="str">
        <x:v>Nova iniciativa, conflito estratégico, release crítica ou mudança constitucional.</x:v>
      </x:c>
      <x:c r="F40" s="14" t="str">
        <x:v>Relatórios do PhoenixClaw, evidências, custos, riscos e recomendações dos agentes.</x:v>
      </x:c>
      <x:c r="G40" s="14" t="str">
        <x:v>Priorizar, aprovar objetivos, aceitar/rejeitar mudanças críticas, autorizar exceções.</x:v>
      </x:c>
      <x:c r="H40" s="14" t="str">
        <x:v>Decisão humana rastreável, prioridade e aceite final de produto.</x:v>
      </x:c>
      <x:c r="I40" s="14" t="str">
        <x:v>Master Orchestrator / PMO recebe a decisão.</x:v>
      </x:c>
      <x:c r="J40" s="14" t="str">
        <x:v>agent.product.owner.humano.started / .completed / .failed + evidence.ledger.recorded</x:v>
      </x:c>
      <x:c r="K40" s="14" t="str">
        <x:v>Service loop com heartbeat; tasks idempotentes; estado persistente.</x:v>
      </x:c>
      <x:c r="L40" s="14" t="str">
        <x:v>Checkpoint antes de side effect relevante; hash/manifest; rollback/recovery proof obrigatório quando aplicável.</x:v>
      </x:c>
      <x:c r="M40" s="14" t="str">
        <x:v>É a autoridade humana final para prioridades e exceções críticas.</x:v>
      </x:c>
      <x:c r="N40" s="14" t="str">
        <x:v>Fail-closed; retry bounded; side effect não é repetido sem idempotency key; incident/evidence on failure.</x:v>
      </x:c>
    </x:row>
    <x:row r="41" ht="64" customHeight="1">
      <x:c r="A41" s="14" t="str">
        <x:v>01a0e473-f602-7e32-9e89-7886eab11711</x:v>
      </x:c>
      <x:c r="B41" s="14" t="n">
        <x:v>2</x:v>
      </x:c>
      <x:c r="C41" s="14" t="str">
        <x:v>Master Orchestrator</x:v>
      </x:c>
      <x:c r="D41" s="14" t="str">
        <x:v>F15 Skill Runtime + Memory/Context Engine | F16 Scheduler + Background Jobs | F20 Team Runtime | F22 Device Nodes</x:v>
      </x:c>
      <x:c r="E41" s="14" t="str">
        <x:v>Qualquer demanda aceita para execução.</x:v>
      </x:c>
      <x:c r="F41" s="14" t="str">
        <x:v>Requisito aprovado, capacidade disponível, orçamento e dependências.</x:v>
      </x:c>
      <x:c r="G41" s="14" t="str">
        <x:v>Criar/atribuir tasks, pausar fluxo, acionar especialistas, cobrar gates, encerrar execução.</x:v>
      </x:c>
      <x:c r="H41" s="14" t="str">
        <x:v>Plano de execução, task assignments, status e trilha de auditoria.</x:v>
      </x:c>
      <x:c r="I41" s="14" t="str">
        <x:v>Encaminha ao papel correto e ao próximo gate.</x:v>
      </x:c>
      <x:c r="J41" s="14" t="str">
        <x:v>agent.master.orchestrator.started / .completed / .failed + evidence.ledger.recorded</x:v>
      </x:c>
      <x:c r="K41" s="14" t="str">
        <x:v>Job UUIDv7; lease + heartbeat + fencing_token + resume_token; estado PostgreSQL.</x:v>
      </x:c>
      <x:c r="L41" s="14" t="str">
        <x:v>Checkpoint antes de side effect relevante; hash/manifest; rollback/recovery proof obrigatório quando aplicável.</x:v>
      </x:c>
      <x:c r="M41" s="14" t="str">
        <x:v>Obrigatória para publicação externa, gasto, privilege elevation, ação destrutiva ou exceção constitucional.</x:v>
      </x:c>
      <x:c r="N41" s="14" t="str">
        <x:v>Idempotência; retry exponencial com limite; DLQ; correlation UUIDv7; logs+metrics+traces+evidence.</x:v>
      </x:c>
    </x:row>
    <x:row r="42" ht="64" customHeight="1">
      <x:c r="A42" s="14" t="str">
        <x:v>01a0e473-f603-72b3-946d-c6b9621006f8</x:v>
      </x:c>
      <x:c r="B42" s="14" t="n">
        <x:v>3</x:v>
      </x:c>
      <x:c r="C42" s="14" t="str">
        <x:v>Analista</x:v>
      </x:c>
      <x:c r="D42" s="14" t="str">
        <x:v>F15 Skill Runtime + Memory/Context Engine | F20 Team Runtime | F22 Device Nodes</x:v>
      </x:c>
      <x:c r="E42" s="14" t="str">
        <x:v>Demanda nova ou alteração relevante.</x:v>
      </x:c>
      <x:c r="F42" s="14" t="str">
        <x:v>Pedido humano, contexto do produto e decisões anteriores.</x:v>
      </x:c>
      <x:c r="G42" s="14" t="str">
        <x:v>Criar Requirement, Acceptance Criteria, MVP, riscos e perguntas em aberto.</x:v>
      </x:c>
      <x:c r="H42" s="14" t="str">
        <x:v>Escopo versionado, MVP e critérios de aceite.</x:v>
      </x:c>
      <x:c r="I42" s="14" t="str">
        <x:v>Arquiteto.</x:v>
      </x:c>
      <x:c r="J42" s="14" t="str">
        <x:v>agent.analista.started / .completed / .failed + evidence.ledger.recorded</x:v>
      </x:c>
      <x:c r="K42" s="14" t="str">
        <x:v>Task UUIDv7 sob demanda; sem lease longa por padrão.</x:v>
      </x:c>
      <x:c r="L42" s="14" t="str">
        <x:v>Checkpoint quando houver write persistente; leitura pura dispensa snapshot.</x:v>
      </x:c>
      <x:c r="M42" s="14" t="str">
        <x:v>Por policy; leitura/análise não exige aprovação. Escritas sensíveis escalam.</x:v>
      </x:c>
      <x:c r="N42" s="14" t="str">
        <x:v>Retry bounded; registrar causa, correlação UUIDv7 e Evidence Ledger.</x:v>
      </x:c>
    </x:row>
    <x:row r="43" ht="64" customHeight="1">
      <x:c r="A43" s="14" t="str">
        <x:v>01a0e473-f604-77d8-a13d-7ee652e67964</x:v>
      </x:c>
      <x:c r="B43" s="14" t="n">
        <x:v>4</x:v>
      </x:c>
      <x:c r="C43" s="14" t="str">
        <x:v>Arquiteto</x:v>
      </x:c>
      <x:c r="D43" s="14" t="str">
        <x:v>F15 Skill Runtime + Memory/Context Engine | F19 Repo Intelligence / Tree-sitter | F22 Device Nodes | F25 Knowledge / Evidence Graph</x:v>
      </x:c>
      <x:c r="E43" s="14" t="str">
        <x:v>Feature estrutural, novo módulo, breaking change ou mudança de fundação.</x:v>
      </x:c>
      <x:c r="F43" s="14" t="str">
        <x:v>Escopo do Analista, Research, Oráculo e restrições do Phoenix.</x:v>
      </x:c>
      <x:c r="G43" s="14" t="str">
        <x:v>Propor arquitetura, escrever ADR, bloquear acoplamento indevido, solicitar RFC.</x:v>
      </x:c>
      <x:c r="H43" s="14" t="str">
        <x:v>ADR, diagrama lógico, contratos e trade-offs.</x:v>
      </x:c>
      <x:c r="I43" s="14" t="str">
        <x:v>Chaveiro / Guardian.</x:v>
      </x:c>
      <x:c r="J43" s="14" t="str">
        <x:v>agent.arquiteto.started / .completed / .failed + evidence.ledger.recorded</x:v>
      </x:c>
      <x:c r="K43" s="14" t="str">
        <x:v>Task UUIDv7 sob demanda; sem lease longa por padrão.</x:v>
      </x:c>
      <x:c r="L43" s="14" t="str">
        <x:v>Checkpoint antes de side effect relevante; hash/manifest; rollback/recovery proof obrigatório quando aplicável.</x:v>
      </x:c>
      <x:c r="M43" s="14" t="str">
        <x:v>Obrigatória para publicação externa, gasto, privilege elevation, ação destrutiva ou exceção constitucional.</x:v>
      </x:c>
      <x:c r="N43" s="14" t="str">
        <x:v>Fail-closed; retry bounded; side effect não é repetido sem idempotency key; incident/evidence on failure.</x:v>
      </x:c>
    </x:row>
    <x:row r="44" ht="64" customHeight="1">
      <x:c r="A44" s="14" t="str">
        <x:v>01a0e473-f605-74d9-812b-8ec827796405</x:v>
      </x:c>
      <x:c r="B44" s="14" t="n">
        <x:v>5</x:v>
      </x:c>
      <x:c r="C44" s="14" t="str">
        <x:v>Morpheus</x:v>
      </x:c>
      <x:c r="D44" s="14" t="str">
        <x:v>F15 Skill Runtime + Memory/Context Engine | F19 Repo Intelligence / Tree-sitter | F20 Team Runtime | F22 Device Nodes</x:v>
      </x:c>
      <x:c r="E44" s="14" t="str">
        <x:v>Problema de alta incerteza, conflito de visão ou bloqueio prolongado.</x:v>
      </x:c>
      <x:c r="F44" s="14" t="str">
        <x:v>Estado real do projeto e recomendações de agentes seniores.</x:v>
      </x:c>
      <x:c r="G44" s="14" t="str">
        <x:v>Orientar, escalonar, reenquadrar objetivo e solicitar revisão estratégica.</x:v>
      </x:c>
      <x:c r="H44" s="14" t="str">
        <x:v>Direção de missão e decisão de escalonamento.</x:v>
      </x:c>
      <x:c r="I44" s="14" t="str">
        <x:v>Oráculo / Arquiteto / Neo-Trinity.</x:v>
      </x:c>
      <x:c r="J44" s="14" t="str">
        <x:v>agent.morpheus.started / .completed / .failed + evidence.ledger.recorded</x:v>
      </x:c>
      <x:c r="K44" s="14" t="str">
        <x:v>Task UUIDv7 sob demanda; sem lease longa por padrão.</x:v>
      </x:c>
      <x:c r="L44" s="14" t="str">
        <x:v>Checkpoint antes de side effect relevante; hash/manifest; rollback/recovery proof obrigatório quando aplicável.</x:v>
      </x:c>
      <x:c r="M44" s="14" t="str">
        <x:v>Obrigatória para publicação externa, gasto, privilege elevation, ação destrutiva ou exceção constitucional.</x:v>
      </x:c>
      <x:c r="N44" s="14" t="str">
        <x:v>Fail-closed; retry bounded; side effect não é repetido sem idempotency key; incident/evidence on failure.</x:v>
      </x:c>
    </x:row>
    <x:row r="45" ht="64" customHeight="1">
      <x:c r="A45" s="14" t="str">
        <x:v>01a0e473-f606-78cd-86b5-d4192e95853c</x:v>
      </x:c>
      <x:c r="B45" s="14" t="n">
        <x:v>6</x:v>
      </x:c>
      <x:c r="C45" s="14" t="str">
        <x:v>Oráculo</x:v>
      </x:c>
      <x:c r="D45" s="14" t="str">
        <x:v>F15 Skill Runtime + Memory/Context Engine | F19 Repo Intelligence / Tree-sitter | F20 Team Runtime | F22 Device Nodes | F24 Auto-learning + Skill Evolution | F25 Knowledge / Evidence Graph</x:v>
      </x:c>
      <x:c r="E45" s="14" t="str">
        <x:v>Decisão difícil, ambiguidade técnica ou conflito entre alternativas.</x:v>
      </x:c>
      <x:c r="F45" s="14" t="str">
        <x:v>Evidence Pack, hipóteses, arquitetura atual e restrições.</x:v>
      </x:c>
      <x:c r="G45" s="14" t="str">
        <x:v>Emitir Decision Record, recomendar opção, pedir experimento adicional.</x:v>
      </x:c>
      <x:c r="H45" s="14" t="str">
        <x:v>Decision Record com opções, riscos, evidências e confiança.</x:v>
      </x:c>
      <x:c r="I45" s="14" t="str">
        <x:v>Arquiteto / Morpheus / PO quando crítico.</x:v>
      </x:c>
      <x:c r="J45" s="14" t="str">
        <x:v>agent.oraculo.started / .completed / .failed + evidence.ledger.recorded</x:v>
      </x:c>
      <x:c r="K45" s="14" t="str">
        <x:v>Task UUIDv7 sob demanda; sem lease longa por padrão.</x:v>
      </x:c>
      <x:c r="L45" s="14" t="str">
        <x:v>Checkpoint antes de side effect relevante; hash/manifest; rollback/recovery proof obrigatório quando aplicável.</x:v>
      </x:c>
      <x:c r="M45" s="14" t="str">
        <x:v>Obrigatória para publicação externa, gasto, privilege elevation, ação destrutiva ou exceção constitucional.</x:v>
      </x:c>
      <x:c r="N45" s="14" t="str">
        <x:v>Fail-closed; retry bounded; side effect não é repetido sem idempotency key; incident/evidence on failure.</x:v>
      </x:c>
    </x:row>
    <x:row r="46" ht="64" customHeight="1">
      <x:c r="A46" s="14" t="str">
        <x:v>01a0e473-f607-777c-b4f3-12b3cc967d29</x:v>
      </x:c>
      <x:c r="B46" s="14" t="n">
        <x:v>7</x:v>
      </x:c>
      <x:c r="C46" s="14" t="str">
        <x:v>Chaveiro</x:v>
      </x:c>
      <x:c r="D46" s="14" t="str">
        <x:v>F15 Skill Runtime + Memory/Context Engine | F16 Scheduler + Background Jobs | F17 Checkpoint + Rollback | F18 MCP + LSP Runtime | F19 Repo Intelligence / Tree-sitter | F22 Device Nodes | F23 Secret &amp; Credential Broker</x:v>
      </x:c>
      <x:c r="E46" s="14" t="str">
        <x:v>Após arquitetura aprovada ou ao integrar sistemas.</x:v>
      </x:c>
      <x:c r="F46" s="14" t="str">
        <x:v>ADR, domínio, requisitos e compatibilidade.</x:v>
      </x:c>
      <x:c r="G46" s="14" t="str">
        <x:v>Criar/congelar contratos, gerar schemas e testes de contrato.</x:v>
      </x:c>
      <x:c r="H46" s="14" t="str">
        <x:v>Contratos versionados e testáveis.</x:v>
      </x:c>
      <x:c r="I46" s="14" t="str">
        <x:v>Johnson / Integration Test.</x:v>
      </x:c>
      <x:c r="J46" s="14" t="str">
        <x:v>agent.chaveiro.started / .completed / .failed + evidence.ledger.recorded</x:v>
      </x:c>
      <x:c r="K46" s="14" t="str">
        <x:v>Job UUIDv7; lease + heartbeat + fencing_token + resume_token; estado PostgreSQL.</x:v>
      </x:c>
      <x:c r="L46" s="14" t="str">
        <x:v>Checkpoint antes de side effect relevante; hash/manifest; rollback/recovery proof obrigatório quando aplicável.</x:v>
      </x:c>
      <x:c r="M46" s="14" t="str">
        <x:v>Por policy; leitura/análise não exige aprovação. Escritas sensíveis escalam.</x:v>
      </x:c>
      <x:c r="N46" s="14" t="str">
        <x:v>Idempotência; retry exponencial com limite; DLQ; correlation UUIDv7; logs+metrics+traces+evidence.</x:v>
      </x:c>
    </x:row>
    <x:row r="47" ht="64" customHeight="1">
      <x:c r="A47" s="14" t="str">
        <x:v>01a0e473-f608-7dd4-af8f-1c71de446420</x:v>
      </x:c>
      <x:c r="B47" s="14" t="n">
        <x:v>8</x:v>
      </x:c>
      <x:c r="C47" s="14" t="str">
        <x:v>Johnson</x:v>
      </x:c>
      <x:c r="D47" s="14" t="str">
        <x:v>F15 Skill Runtime + Memory/Context Engine | F18 MCP + LSP Runtime | F19 Repo Intelligence / Tree-sitter | F22 Device Nodes</x:v>
      </x:c>
      <x:c r="E47" s="14" t="str">
        <x:v>Task pronta para implementação.</x:v>
      </x:c>
      <x:c r="F47" s="14" t="str">
        <x:v>Escopo, ADR, contratos e critérios de aceite.</x:v>
      </x:c>
      <x:c r="G47" s="14" t="str">
        <x:v>Criar patch, compilar, executar testes locais, corrigir implementação.</x:v>
      </x:c>
      <x:c r="H47" s="14" t="str">
        <x:v>Patch implementado e compilável.</x:v>
      </x:c>
      <x:c r="I47" s="14" t="str">
        <x:v>Jones.</x:v>
      </x:c>
      <x:c r="J47" s="14" t="str">
        <x:v>agent.johnson.started / .completed / .failed + evidence.ledger.recorded</x:v>
      </x:c>
      <x:c r="K47" s="14" t="str">
        <x:v>Task UUIDv7 sob demanda; sem lease longa por padrão.</x:v>
      </x:c>
      <x:c r="L47" s="14" t="str">
        <x:v>Checkpoint quando houver write persistente; leitura pura dispensa snapshot.</x:v>
      </x:c>
      <x:c r="M47" s="14" t="str">
        <x:v>Por policy; leitura/análise não exige aprovação. Escritas sensíveis escalam.</x:v>
      </x:c>
      <x:c r="N47" s="14" t="str">
        <x:v>Retry bounded; registrar causa, correlação UUIDv7 e Evidence Ledger.</x:v>
      </x:c>
    </x:row>
    <x:row r="48" ht="64" customHeight="1">
      <x:c r="A48" s="14" t="str">
        <x:v>01a0e473-f609-7168-9146-d774a9be6740</x:v>
      </x:c>
      <x:c r="B48" s="14" t="n">
        <x:v>9</x:v>
      </x:c>
      <x:c r="C48" s="14" t="str">
        <x:v>Smith</x:v>
      </x:c>
      <x:c r="D48" s="14" t="str">
        <x:v>F15 Skill Runtime + Memory/Context Engine | F19 Repo Intelligence / Tree-sitter | F22 Device Nodes</x:v>
      </x:c>
      <x:c r="E48" s="14" t="str">
        <x:v>Mudança repetitiva já aprovada.</x:v>
      </x:c>
      <x:c r="F48" s="14" t="str">
        <x:v>Padrão fonte, escopo de arquivos e regras de exclusão.</x:v>
      </x:c>
      <x:c r="G48" s="14" t="str">
        <x:v>Aplicar mudança massiva, gerar diff consolidado e rodar regressões.</x:v>
      </x:c>
      <x:c r="H48" s="14" t="str">
        <x:v>Patch massivo consistente e relatório de impacto.</x:v>
      </x:c>
      <x:c r="I48" s="14" t="str">
        <x:v>Jones / QA2.</x:v>
      </x:c>
      <x:c r="J48" s="14" t="str">
        <x:v>agent.smith.started / .completed / .failed + evidence.ledger.recorded</x:v>
      </x:c>
      <x:c r="K48" s="14" t="str">
        <x:v>Task UUIDv7 sob demanda; sem lease longa por padrão.</x:v>
      </x:c>
      <x:c r="L48" s="14" t="str">
        <x:v>Checkpoint quando houver write persistente; leitura pura dispensa snapshot.</x:v>
      </x:c>
      <x:c r="M48" s="14" t="str">
        <x:v>Por policy; leitura/análise não exige aprovação. Escritas sensíveis escalam.</x:v>
      </x:c>
      <x:c r="N48" s="14" t="str">
        <x:v>Retry bounded; registrar causa, correlação UUIDv7 e Evidence Ledger.</x:v>
      </x:c>
    </x:row>
    <x:row r="49" ht="64" customHeight="1">
      <x:c r="A49" s="14" t="str">
        <x:v>01a0e473-f60a-7901-a95b-af0de0b5123c</x:v>
      </x:c>
      <x:c r="B49" s="14" t="n">
        <x:v>10</x:v>
      </x:c>
      <x:c r="C49" s="14" t="str">
        <x:v>Brown</x:v>
      </x:c>
      <x:c r="D49" s="14" t="str">
        <x:v>F15 Skill Runtime + Memory/Context Engine | F18 MCP + LSP Runtime | F19 Repo Intelligence / Tree-sitter | F22 Device Nodes | F25 Knowledge / Evidence Graph</x:v>
      </x:c>
      <x:c r="E49" s="14" t="str">
        <x:v>Bug, incidente ou comportamento inconsistente.</x:v>
      </x:c>
      <x:c r="F49" s="14" t="str">
        <x:v>Relato do bug, build afetado, telemetria e histórico.</x:v>
      </x:c>
      <x:c r="G49" s="14" t="str">
        <x:v>Reproduzir, isolar, produzir Root Cause Report e pedir teste de regressão.</x:v>
      </x:c>
      <x:c r="H49" s="14" t="str">
        <x:v>Reprodução confiável + causa raiz/evidência.</x:v>
      </x:c>
      <x:c r="I49" s="14" t="str">
        <x:v>Jones cria teste vermelho; depois Johnson.</x:v>
      </x:c>
      <x:c r="J49" s="14" t="str">
        <x:v>agent.brown.started / .completed / .failed + evidence.ledger.recorded</x:v>
      </x:c>
      <x:c r="K49" s="14" t="str">
        <x:v>Task UUIDv7 sob demanda; sem lease longa por padrão.</x:v>
      </x:c>
      <x:c r="L49" s="14" t="str">
        <x:v>Checkpoint quando houver write persistente; leitura pura dispensa snapshot.</x:v>
      </x:c>
      <x:c r="M49" s="14" t="str">
        <x:v>Por policy; leitura/análise não exige aprovação. Escritas sensíveis escalam.</x:v>
      </x:c>
      <x:c r="N49" s="14" t="str">
        <x:v>Retry bounded; registrar causa, correlação UUIDv7 e Evidence Ledger.</x:v>
      </x:c>
    </x:row>
    <x:row r="50" ht="64" customHeight="1">
      <x:c r="A50" s="14" t="str">
        <x:v>01a0e473-f60b-796a-a1ff-a164537cd755</x:v>
      </x:c>
      <x:c r="B50" s="14" t="n">
        <x:v>11</x:v>
      </x:c>
      <x:c r="C50" s="14" t="str">
        <x:v>Jones</x:v>
      </x:c>
      <x:c r="D50" s="14" t="str">
        <x:v>F22 Device Nodes</x:v>
      </x:c>
      <x:c r="E50" s="14" t="str">
        <x:v>Após implementação, bug reproduzido ou novo requisito.</x:v>
      </x:c>
      <x:c r="F50" s="14" t="str">
        <x:v>Acceptance Criteria, Root Cause, contratos e patch.</x:v>
      </x:c>
      <x:c r="G50" s="14" t="str">
        <x:v>Criar testes, rodar suites, bloquear regressão, registrar evidência.</x:v>
      </x:c>
      <x:c r="H50" s="14" t="str">
        <x:v>Test report, regression tests e evidências.</x:v>
      </x:c>
      <x:c r="I50" s="14" t="str">
        <x:v>Thompson / QA1.</x:v>
      </x:c>
      <x:c r="J50" s="14" t="str">
        <x:v>agent.jones.started / .completed / .failed + evidence.ledger.recorded</x:v>
      </x:c>
      <x:c r="K50" s="14" t="str">
        <x:v>Task UUIDv7 sob demanda; sem lease longa por padrão.</x:v>
      </x:c>
      <x:c r="L50" s="14" t="str">
        <x:v>Checkpoint quando houver write persistente; leitura pura dispensa snapshot.</x:v>
      </x:c>
      <x:c r="M50" s="14" t="str">
        <x:v>Por policy; leitura/análise não exige aprovação. Escritas sensíveis escalam.</x:v>
      </x:c>
      <x:c r="N50" s="14" t="str">
        <x:v>Retry bounded; registrar causa, correlação UUIDv7 e Evidence Ledger.</x:v>
      </x:c>
    </x:row>
    <x:row r="51" ht="64" customHeight="1">
      <x:c r="A51" s="14" t="str">
        <x:v>01a0e473-f60c-7cce-90e3-302e5f81e9fa</x:v>
      </x:c>
      <x:c r="B51" s="14" t="n">
        <x:v>12</x:v>
      </x:c>
      <x:c r="C51" s="14" t="str">
        <x:v>Jackson</x:v>
      </x:c>
      <x:c r="D51" s="14" t="str">
        <x:v>F15 Skill Runtime + Memory/Context Engine | F19 Repo Intelligence / Tree-sitter | F22 Device Nodes</x:v>
      </x:c>
      <x:c r="E51" s="14" t="str">
        <x:v>Regressão de performance, metas de SLO ou módulo crítico.</x:v>
      </x:c>
      <x:c r="F51" s="14" t="str">
        <x:v>Benchmarks, telemetria e patch candidato.</x:v>
      </x:c>
      <x:c r="G51" s="14" t="str">
        <x:v>Medir, perfilar, propor e validar otimizações.</x:v>
      </x:c>
      <x:c r="H51" s="14" t="str">
        <x:v>Relatório before/after e recomendação.</x:v>
      </x:c>
      <x:c r="I51" s="14" t="str">
        <x:v>Performance Test / QA2.</x:v>
      </x:c>
      <x:c r="J51" s="14" t="str">
        <x:v>agent.jackson.started / .completed / .failed + evidence.ledger.recorded</x:v>
      </x:c>
      <x:c r="K51" s="14" t="str">
        <x:v>Task UUIDv7 sob demanda; sem lease longa por padrão.</x:v>
      </x:c>
      <x:c r="L51" s="14" t="str">
        <x:v>Checkpoint quando houver write persistente; leitura pura dispensa snapshot.</x:v>
      </x:c>
      <x:c r="M51" s="14" t="str">
        <x:v>Por policy; leitura/análise não exige aprovação. Escritas sensíveis escalam.</x:v>
      </x:c>
      <x:c r="N51" s="14" t="str">
        <x:v>Retry bounded; registrar causa, correlação UUIDv7 e Evidence Ledger.</x:v>
      </x:c>
    </x:row>
    <x:row r="52" ht="64" customHeight="1">
      <x:c r="A52" s="14" t="str">
        <x:v>01a0e473-f60d-761f-b597-a103db46e3df</x:v>
      </x:c>
      <x:c r="B52" s="14" t="n">
        <x:v>13</x:v>
      </x:c>
      <x:c r="C52" s="14" t="str">
        <x:v>Thompson</x:v>
      </x:c>
      <x:c r="D52" s="14" t="str">
        <x:v>F15 Skill Runtime + Memory/Context Engine | F23 Secret &amp; Credential Broker</x:v>
      </x:c>
      <x:c r="E52" s="14" t="str">
        <x:v>Toda feature com superfície relevante; obrigatório antes de release.</x:v>
      </x:c>
      <x:c r="F52" s="14" t="str">
        <x:v>Patch, contratos, permissions e threat model.</x:v>
      </x:c>
      <x:c r="G52" s="14" t="str">
        <x:v>Revisar, abrir findings, bloquear merge e exigir correção.</x:v>
      </x:c>
      <x:c r="H52" s="14" t="str">
        <x:v>Security review e gate PASS/FAIL.</x:v>
      </x:c>
      <x:c r="I52" s="14" t="str">
        <x:v>Perséfone / QA.</x:v>
      </x:c>
      <x:c r="J52" s="14" t="str">
        <x:v>agent.thompson.started / .completed / .failed + evidence.ledger.recorded</x:v>
      </x:c>
      <x:c r="K52" s="14" t="str">
        <x:v>Task UUIDv7 sob demanda; sem lease longa por padrão.</x:v>
      </x:c>
      <x:c r="L52" s="14" t="str">
        <x:v>Checkpoint antes de side effect relevante; hash/manifest; rollback/recovery proof obrigatório quando aplicável.</x:v>
      </x:c>
      <x:c r="M52" s="14" t="str">
        <x:v>Obrigatória para publicação externa, gasto, privilege elevation, ação destrutiva ou exceção constitucional.</x:v>
      </x:c>
      <x:c r="N52" s="14" t="str">
        <x:v>Fail-closed; retry bounded; side effect não é repetido sem idempotency key; incident/evidence on failure.</x:v>
      </x:c>
    </x:row>
    <x:row r="53" ht="64" customHeight="1">
      <x:c r="A53" s="14" t="str">
        <x:v>01a0e473-f60e-7349-8ef7-425daf15e0ed</x:v>
      </x:c>
      <x:c r="B53" s="14" t="n">
        <x:v>14</x:v>
      </x:c>
      <x:c r="C53" s="14" t="str">
        <x:v>Trinity</x:v>
      </x:c>
      <x:c r="D53" s="14" t="str">
        <x:v>F15 Skill Runtime + Memory/Context Engine | F18 MCP + LSP Runtime | F19 Repo Intelligence / Tree-sitter | F22 Device Nodes | F25 Knowledge / Evidence Graph</x:v>
      </x:c>
      <x:c r="E53" s="14" t="str">
        <x:v>Integração crítica ou missão de alto risco.</x:v>
      </x:c>
      <x:c r="F53" s="14" t="str">
        <x:v>Artefatos de vários módulos e contratos.</x:v>
      </x:c>
      <x:c r="G53" s="14" t="str">
        <x:v>Integrar, reproduzir fluxos completos, coordenar patches cross-stack.</x:v>
      </x:c>
      <x:c r="H53" s="14" t="str">
        <x:v>Integration Proof e patch de integração.</x:v>
      </x:c>
      <x:c r="I53" s="14" t="str">
        <x:v>Jones/QA2/OPA.</x:v>
      </x:c>
      <x:c r="J53" s="14" t="str">
        <x:v>agent.trinity.started / .completed / .failed + evidence.ledger.recorded</x:v>
      </x:c>
      <x:c r="K53" s="14" t="str">
        <x:v>Task UUIDv7 sob demanda; sem lease longa por padrão.</x:v>
      </x:c>
      <x:c r="L53" s="14" t="str">
        <x:v>Checkpoint antes de side effect relevante; hash/manifest; rollback/recovery proof obrigatório quando aplicável.</x:v>
      </x:c>
      <x:c r="M53" s="14" t="str">
        <x:v>Obrigatória para publicação externa, gasto, privilege elevation, ação destrutiva ou exceção constitucional.</x:v>
      </x:c>
      <x:c r="N53" s="14" t="str">
        <x:v>Fail-closed; retry bounded; side effect não é repetido sem idempotency key; incident/evidence on failure.</x:v>
      </x:c>
    </x:row>
    <x:row r="54" ht="64" customHeight="1">
      <x:c r="A54" s="14" t="str">
        <x:v>01a0e473-f60f-7a87-bd13-b8cc594c0e63</x:v>
      </x:c>
      <x:c r="B54" s="14" t="n">
        <x:v>15</x:v>
      </x:c>
      <x:c r="C54" s="14" t="str">
        <x:v>Neo</x:v>
      </x:c>
      <x:c r="D54" s="14" t="str">
        <x:v>F15 Skill Runtime + Memory/Context Engine | F18 MCP + LSP Runtime | F19 Repo Intelligence / Tree-sitter | F21 Channel Gateway | F22 Device Nodes</x:v>
      </x:c>
      <x:c r="E54" s="14" t="str">
        <x:v>Falhas repetidas do fluxo normal e escalonamento de Morpheus/Oráculo.</x:v>
      </x:c>
      <x:c r="F54" s="14" t="str">
        <x:v>Root Cause, tentativas anteriores, ADRs e evidências.</x:v>
      </x:c>
      <x:c r="G54" s="14" t="str">
        <x:v>Investigar, propor solução excepcional, criar patch experimental e plano de recuperação.</x:v>
      </x:c>
      <x:c r="H54" s="14" t="str">
        <x:v>Solução candidata excepcional com provas.</x:v>
      </x:c>
      <x:c r="I54" s="14" t="str">
        <x:v>Jones → Thompson → OPA → QA3.</x:v>
      </x:c>
      <x:c r="J54" s="14" t="str">
        <x:v>agent.neo.started / .completed / .failed + evidence.ledger.recorded</x:v>
      </x:c>
      <x:c r="K54" s="14" t="str">
        <x:v>Task UUIDv7 sob demanda; sem lease longa por padrão.</x:v>
      </x:c>
      <x:c r="L54" s="14" t="str">
        <x:v>Checkpoint antes de side effect relevante; hash/manifest; rollback/recovery proof obrigatório quando aplicável.</x:v>
      </x:c>
      <x:c r="M54" s="14" t="str">
        <x:v>Obrigatória para publicação externa, gasto, privilege elevation, ação destrutiva ou exceção constitucional.</x:v>
      </x:c>
      <x:c r="N54" s="14" t="str">
        <x:v>Fail-closed; retry bounded; side effect não é repetido sem idempotency key; incident/evidence on failure.</x:v>
      </x:c>
    </x:row>
    <x:row r="55" ht="64" customHeight="1">
      <x:c r="A55" s="14" t="str">
        <x:v>01a0e473-f610-77ff-b82c-aaa004721899</x:v>
      </x:c>
      <x:c r="B55" s="14" t="n">
        <x:v>16</x:v>
      </x:c>
      <x:c r="C55" s="14" t="str">
        <x:v>Merovíngio</x:v>
      </x:c>
      <x:c r="D55" s="14" t="str">
        <x:v>F15 Skill Runtime + Memory/Context Engine | F18 MCP + LSP Runtime | F19 Repo Intelligence / Tree-sitter | F21 Channel Gateway | F22 Device Nodes | F25 Knowledge / Evidence Graph</x:v>
      </x:c>
      <x:c r="E55" s="14" t="str">
        <x:v>Nova dependência externa, vendor ou legado.</x:v>
      </x:c>
      <x:c r="F55" s="14" t="str">
        <x:v>Contrato externo, licença e requisitos Phoenix.</x:v>
      </x:c>
      <x:c r="G55" s="14" t="str">
        <x:v>Criar adapter, mapear contrato, encapsular dependência, testar degradação.</x:v>
      </x:c>
      <x:c r="H55" s="14" t="str">
        <x:v>Adapter Phoenix + testes + risco de dependência.</x:v>
      </x:c>
      <x:c r="I55" s="14" t="str">
        <x:v>Integration/Compatibility.</x:v>
      </x:c>
      <x:c r="J55" s="14" t="str">
        <x:v>agent.merovingio.started / .completed / .failed + evidence.ledger.recorded</x:v>
      </x:c>
      <x:c r="K55" s="14" t="str">
        <x:v>Task UUIDv7 sob demanda; sem lease longa por padrão.</x:v>
      </x:c>
      <x:c r="L55" s="14" t="str">
        <x:v>Checkpoint quando houver write persistente; leitura pura dispensa snapshot.</x:v>
      </x:c>
      <x:c r="M55" s="14" t="str">
        <x:v>Por policy; leitura/análise não exige aprovação. Escritas sensíveis escalam.</x:v>
      </x:c>
      <x:c r="N55" s="14" t="str">
        <x:v>Retry bounded; registrar causa, correlação UUIDv7 e Evidence Ledger.</x:v>
      </x:c>
    </x:row>
    <x:row r="56" ht="64" customHeight="1">
      <x:c r="A56" s="14" t="str">
        <x:v>01a0e473-f611-72bf-b507-5b0637df19bd</x:v>
      </x:c>
      <x:c r="B56" s="14" t="n">
        <x:v>17</x:v>
      </x:c>
      <x:c r="C56" s="14" t="str">
        <x:v>Perséfone</x:v>
      </x:c>
      <x:c r="D56" s="14" t="str">
        <x:v>F15 Skill Runtime + Memory/Context Engine | F20 Team Runtime | F25 Knowledge / Evidence Graph</x:v>
      </x:c>
      <x:c r="E56" s="14" t="str">
        <x:v>Após implementação relevante.</x:v>
      </x:c>
      <x:c r="F56" s="14" t="str">
        <x:v>Patch aprovado tecnicamente e decisões. | Source Registry rust-official + cache offline indexado</x:v>
      </x:c>
      <x:c r="G56" s="14" t="str">
        <x:v>Atualizar docs reais, marcar mismatch e bloquear documentação enganosa.</x:v>
      </x:c>
      <x:c r="H56" s="14" t="str">
        <x:v>Documentação factual sincronizada.</x:v>
      </x:c>
      <x:c r="I56" s="14" t="str">
        <x:v>Documentador / QA2.</x:v>
      </x:c>
      <x:c r="J56" s="14" t="str">
        <x:v>agent.persefone.started / .completed / .failed + evidence.ledger.recorded</x:v>
      </x:c>
      <x:c r="K56" s="14" t="str">
        <x:v>Task UUIDv7 sob demanda; sem lease longa por padrão.</x:v>
      </x:c>
      <x:c r="L56" s="14" t="str">
        <x:v>Checkpoint quando houver write persistente; leitura pura dispensa snapshot.</x:v>
      </x:c>
      <x:c r="M56" s="14" t="str">
        <x:v>Por policy; leitura/análise não exige aprovação. Escritas sensíveis escalam. Leitura Rust exige capability knowledge.rust.read; online só para frescor/verificação.</x:v>
      </x:c>
      <x:c r="N56" s="14" t="str">
        <x:v>Retry bounded; registrar causa, correlação UUIDv7 e Evidence Ledger.</x:v>
      </x:c>
    </x:row>
    <x:row r="57" ht="64" customHeight="1">
      <x:c r="A57" s="14" t="str">
        <x:v>01a0e473-f612-770e-83ad-6e25803412ba</x:v>
      </x:c>
      <x:c r="B57" s="14" t="n">
        <x:v>18</x:v>
      </x:c>
      <x:c r="C57" s="14" t="str">
        <x:v>Documentador</x:v>
      </x:c>
      <x:c r="D57" s="14" t="str">
        <x:v>F15 Skill Runtime + Memory/Context Engine | F18 MCP + LSP Runtime | F22 Device Nodes | F25 Knowledge / Evidence Graph</x:v>
      </x:c>
      <x:c r="E57" s="14" t="str">
        <x:v>Feature/release pronta para documentação.</x:v>
      </x:c>
      <x:c r="F57" s="14" t="str">
        <x:v>Comportamento real confirmado e artifacts. | Source Registry rust-official + cache offline indexado</x:v>
      </x:c>
      <x:c r="G57" s="14" t="str">
        <x:v>Escrever, atualizar, validar links/exemplos e organizar documentação.</x:v>
      </x:c>
      <x:c r="H57" s="14" t="str">
        <x:v>Pacote documental completo.</x:v>
      </x:c>
      <x:c r="I57" s="14" t="str">
        <x:v>Documentation Gate / Release.</x:v>
      </x:c>
      <x:c r="J57" s="14" t="str">
        <x:v>agent.documentador.started / .completed / .failed + evidence.ledger.recorded</x:v>
      </x:c>
      <x:c r="K57" s="14" t="str">
        <x:v>Task UUIDv7 sob demanda; sem lease longa por padrão.</x:v>
      </x:c>
      <x:c r="L57" s="14" t="str">
        <x:v>Checkpoint quando houver write persistente; leitura pura dispensa snapshot.</x:v>
      </x:c>
      <x:c r="M57" s="14" t="str">
        <x:v>Por policy; leitura/análise não exige aprovação. Escritas sensíveis escalam. Leitura Rust exige capability knowledge.rust.read; online só para frescor/verificação.</x:v>
      </x:c>
      <x:c r="N57" s="14" t="str">
        <x:v>Retry bounded; registrar causa, correlação UUIDv7 e Evidence Ledger.</x:v>
      </x:c>
    </x:row>
    <x:row r="58" ht="64" customHeight="1">
      <x:c r="A58" s="14" t="str">
        <x:v>01a0e473-f613-790f-be14-88850e521c18</x:v>
      </x:c>
      <x:c r="B58" s="14" t="n">
        <x:v>19</x:v>
      </x:c>
      <x:c r="C58" s="14" t="str">
        <x:v>Research Lead / Pesquisador PDCA</x:v>
      </x:c>
      <x:c r="D58" s="14" t="str">
        <x:v>F15 Skill Runtime + Memory/Context Engine | F19 Repo Intelligence / Tree-sitter | F22 Device Nodes | F24 Auto-learning + Skill Evolution | F25 Knowledge / Evidence Graph</x:v>
      </x:c>
      <x:c r="E58" s="14" t="str">
        <x:v>Nova tecnologia, dúvida arquitetural ou radar periódico.</x:v>
      </x:c>
      <x:c r="F58" s="14" t="str">
        <x:v>Questão de pesquisa e contexto do Phoenix. | Source Registry rust-official + cache offline indexado</x:v>
      </x:c>
      <x:c r="G58" s="14" t="str">
        <x:v>Abrir research tasks, consolidar evidências, pedir hipótese ou RFC.</x:v>
      </x:c>
      <x:c r="H58" s="14" t="str">
        <x:v>Evidence Matrix e recomendação de investigação.</x:v>
      </x:c>
      <x:c r="I58" s="14" t="str">
        <x:v>Hypothesis / Technology Harvest / Oráculo.</x:v>
      </x:c>
      <x:c r="J58" s="14" t="str">
        <x:v>agent.research.lead.pesquisador.pdca.started / .completed / .failed + evidence.ledger.recorded</x:v>
      </x:c>
      <x:c r="K58" s="14" t="str">
        <x:v>Service loop com heartbeat; tasks idempotentes; estado persistente.</x:v>
      </x:c>
      <x:c r="L58" s="14" t="str">
        <x:v>Checkpoint quando houver write persistente; leitura pura dispensa snapshot.</x:v>
      </x:c>
      <x:c r="M58" s="14" t="str">
        <x:v>Por policy; leitura/análise não exige aprovação. Escritas sensíveis escalam. Leitura Rust exige capability knowledge.rust.read; online só para frescor/verificação.</x:v>
      </x:c>
      <x:c r="N58" s="14" t="str">
        <x:v>Retry bounded; registrar causa, correlação UUIDv7 e Evidence Ledger.</x:v>
      </x:c>
    </x:row>
    <x:row r="59" ht="64" customHeight="1">
      <x:c r="A59" s="14" t="str">
        <x:v>01a0e473-f614-70da-9cfb-4151c4cb515b</x:v>
      </x:c>
      <x:c r="B59" s="14" t="n">
        <x:v>20</x:v>
      </x:c>
      <x:c r="C59" s="14" t="str">
        <x:v>Research Agent</x:v>
      </x:c>
      <x:c r="D59" s="14" t="str">
        <x:v>F15 Skill Runtime + Memory/Context Engine | F17 Checkpoint + Rollback | F19 Repo Intelligence / Tree-sitter | F22 Device Nodes | F23 Secret &amp; Credential Broker | F24 Auto-learning + Skill Evolution | F25 Knowledge / Evidence Graph</x:v>
      </x:c>
      <x:c r="E59" s="14" t="str">
        <x:v>Task de pesquisa atribuída.</x:v>
      </x:c>
      <x:c r="F59" s="14" t="str">
        <x:v>Pergunta delimitada e política de fontes. | Source Registry rust-official + cache offline indexado</x:v>
      </x:c>
      <x:c r="G59" s="14" t="str">
        <x:v>Pesquisar, comparar, citar, classificar confiança e sugerir hipóteses.</x:v>
      </x:c>
      <x:c r="H59" s="14" t="str">
        <x:v>Research Pack com fontes e confiança.</x:v>
      </x:c>
      <x:c r="I59" s="14" t="str">
        <x:v>Research Lead / Hypothesis.</x:v>
      </x:c>
      <x:c r="J59" s="14" t="str">
        <x:v>agent.research.agent.started / .completed / .failed + evidence.ledger.recorded</x:v>
      </x:c>
      <x:c r="K59" s="14" t="str">
        <x:v>Task UUIDv7 sob demanda; sem lease longa por padrão.</x:v>
      </x:c>
      <x:c r="L59" s="14" t="str">
        <x:v>Checkpoint antes de side effect relevante; hash/manifest; rollback/recovery proof obrigatório quando aplicável.</x:v>
      </x:c>
      <x:c r="M59" s="14" t="str">
        <x:v>Por policy; leitura/análise não exige aprovação. Escritas sensíveis escalam. Leitura Rust exige capability knowledge.rust.read; online só para frescor/verificação.</x:v>
      </x:c>
      <x:c r="N59" s="14" t="str">
        <x:v>Retry bounded; registrar causa, correlação UUIDv7 e Evidence Ledger.</x:v>
      </x:c>
    </x:row>
    <x:row r="60" ht="64" customHeight="1">
      <x:c r="A60" s="14" t="str">
        <x:v>01a0e473-f615-7bc6-b58e-ccc8c315be7a</x:v>
      </x:c>
      <x:c r="B60" s="14" t="n">
        <x:v>21</x:v>
      </x:c>
      <x:c r="C60" s="14" t="str">
        <x:v>Hypothesis Agent</x:v>
      </x:c>
      <x:c r="D60" s="14" t="str">
        <x:v>F15 Skill Runtime + Memory/Context Engine | F22 Device Nodes | F24 Auto-learning + Skill Evolution</x:v>
      </x:c>
      <x:c r="E60" s="14" t="str">
        <x:v>Pesquisa relevante, bug incerto ou oportunidade de melhoria.</x:v>
      </x:c>
      <x:c r="F60" s="14" t="str">
        <x:v>Evidências e problema claramente descrito.</x:v>
      </x:c>
      <x:c r="G60" s="14" t="str">
        <x:v>Criar Hypothesis UUIDv7, Experiment Plan e critérios mensuráveis.</x:v>
      </x:c>
      <x:c r="H60" s="14" t="str">
        <x:v>Hipótese versionada e plano de experimento.</x:v>
      </x:c>
      <x:c r="I60" s="14" t="str">
        <x:v>Mouse/Potentials → OPA/Oráculo.</x:v>
      </x:c>
      <x:c r="J60" s="14" t="str">
        <x:v>agent.hypothesis.agent.started / .completed / .failed + evidence.ledger.recorded</x:v>
      </x:c>
      <x:c r="K60" s="14" t="str">
        <x:v>Service loop com heartbeat; tasks idempotentes; estado persistente.</x:v>
      </x:c>
      <x:c r="L60" s="14" t="str">
        <x:v>Checkpoint quando houver write persistente; leitura pura dispensa snapshot.</x:v>
      </x:c>
      <x:c r="M60" s="14" t="str">
        <x:v>Por policy; leitura/análise não exige aprovação. Escritas sensíveis escalam.</x:v>
      </x:c>
      <x:c r="N60" s="14" t="str">
        <x:v>Retry bounded; registrar causa, correlação UUIDv7 e Evidence Ledger.</x:v>
      </x:c>
    </x:row>
    <x:row r="61" ht="64" customHeight="1">
      <x:c r="A61" s="14" t="str">
        <x:v>01a0e473-f616-784f-9b36-65d7a686fd41</x:v>
      </x:c>
      <x:c r="B61" s="14" t="n">
        <x:v>22</x:v>
      </x:c>
      <x:c r="C61" s="14" t="str">
        <x:v>Technology Harvest</x:v>
      </x:c>
      <x:c r="D61" s="14" t="str">
        <x:v>F15 Skill Runtime + Memory/Context Engine | F19 Repo Intelligence / Tree-sitter | F22 Device Nodes | F23 Secret &amp; Credential Broker | F24 Auto-learning + Skill Evolution</x:v>
      </x:c>
      <x:c r="E61" s="14" t="str">
        <x:v>Nova tecnologia relevante ou revisão de stack.</x:v>
      </x:c>
      <x:c r="F61" s="14" t="str">
        <x:v>Research Packs e critérios Phoenix.</x:v>
      </x:c>
      <x:c r="G61" s="14" t="str">
        <x:v>Produzir Harvest Matrix, recomendar experimento/RFC.</x:v>
      </x:c>
      <x:c r="H61" s="14" t="str">
        <x:v>Technology Harvest Report.</x:v>
      </x:c>
      <x:c r="I61" s="14" t="str">
        <x:v>Hypothesis / Arquiteto / Licensor.</x:v>
      </x:c>
      <x:c r="J61" s="14" t="str">
        <x:v>agent.technology.harvest.started / .completed / .failed + evidence.ledger.recorded</x:v>
      </x:c>
      <x:c r="K61" s="14" t="str">
        <x:v>Service loop com heartbeat; tasks idempotentes; estado persistente.</x:v>
      </x:c>
      <x:c r="L61" s="14" t="str">
        <x:v>Checkpoint quando houver write persistente; leitura pura dispensa snapshot.</x:v>
      </x:c>
      <x:c r="M61" s="14" t="str">
        <x:v>Por policy; leitura/análise não exige aprovação. Escritas sensíveis escalam.</x:v>
      </x:c>
      <x:c r="N61" s="14" t="str">
        <x:v>Retry bounded; registrar causa, correlação UUIDv7 e Evidence Ledger.</x:v>
      </x:c>
    </x:row>
    <x:row r="62" ht="64" customHeight="1">
      <x:c r="A62" s="14" t="str">
        <x:v>01a0e473-f617-7985-8311-d75e0057d77c</x:v>
      </x:c>
      <x:c r="B62" s="14" t="n">
        <x:v>23</x:v>
      </x:c>
      <x:c r="C62" s="14" t="str">
        <x:v>Rust Evolution Agent</x:v>
      </x:c>
      <x:c r="D62" s="14" t="str">
        <x:v>F15 Skill Runtime + Memory/Context Engine | F18 MCP + LSP Runtime | F22 Device Nodes | F23 Secret &amp; Credential Broker</x:v>
      </x:c>
      <x:c r="E62" s="14" t="str">
        <x:v>Nova versão Rust Stable ou advisory crítico.</x:v>
      </x:c>
      <x:c r="F62" s="14" t="str">
        <x:v>Toolchain atual, changelog e benchmarks.</x:v>
      </x:c>
      <x:c r="G62" s="14" t="str">
        <x:v>Abrir upgrade branch, executar full suite, propor modernizações PhoenixRustCore.</x:v>
      </x:c>
      <x:c r="H62" s="14" t="str">
        <x:v>Rust Impact Report e decisão PROMOTE/HOLD.</x:v>
      </x:c>
      <x:c r="I62" s="14" t="str">
        <x:v>Versionador / Guardian / PhoenixRustCore.</x:v>
      </x:c>
      <x:c r="J62" s="14" t="str">
        <x:v>agent.rust.evolution.agent.started / .completed / .failed + evidence.ledger.recorded</x:v>
      </x:c>
      <x:c r="K62" s="14" t="str">
        <x:v>Service loop com heartbeat; tasks idempotentes; estado persistente.</x:v>
      </x:c>
      <x:c r="L62" s="14" t="str">
        <x:v>Checkpoint quando houver write persistente; leitura pura dispensa snapshot.</x:v>
      </x:c>
      <x:c r="M62" s="14" t="str">
        <x:v>Por policy; leitura/análise não exige aprovação. Escritas sensíveis escalam.</x:v>
      </x:c>
      <x:c r="N62" s="14" t="str">
        <x:v>Retry bounded; registrar causa, correlação UUIDv7 e Evidence Ledger.</x:v>
      </x:c>
    </x:row>
    <x:row r="63" ht="64" customHeight="1">
      <x:c r="A63" s="14" t="str">
        <x:v>01a0e473-f618-7e89-ae35-cbefc100260c</x:v>
      </x:c>
      <x:c r="B63" s="14" t="n">
        <x:v>24</x:v>
      </x:c>
      <x:c r="C63" s="14" t="str">
        <x:v>WASM Evolution Agent</x:v>
      </x:c>
      <x:c r="D63" s="14" t="str">
        <x:v>F15 Skill Runtime + Memory/Context Engine | F19 Repo Intelligence / Tree-sitter | F22 Device Nodes</x:v>
      </x:c>
      <x:c r="E63" s="14" t="str">
        <x:v>Nova capacidade WASM estável ou regressão.</x:v>
      </x:c>
      <x:c r="F63" s="14" t="str">
        <x:v>Backend atual e suites Web.</x:v>
      </x:c>
      <x:c r="G63" s="14" t="str">
        <x:v>Executar compatibility lab e criar RFC de adoção.</x:v>
      </x:c>
      <x:c r="H63" s="14" t="str">
        <x:v>WASM Impact/Compatibility Report.</x:v>
      </x:c>
      <x:c r="I63" s="14" t="str">
        <x:v>Compiler/WASM tests/Versionador.</x:v>
      </x:c>
      <x:c r="J63" s="14" t="str">
        <x:v>agent.wasm.evolution.agent.started / .completed / .failed + evidence.ledger.recorded</x:v>
      </x:c>
      <x:c r="K63" s="14" t="str">
        <x:v>Service loop com heartbeat; tasks idempotentes; estado persistente.</x:v>
      </x:c>
      <x:c r="L63" s="14" t="str">
        <x:v>Checkpoint quando houver write persistente; leitura pura dispensa snapshot.</x:v>
      </x:c>
      <x:c r="M63" s="14" t="str">
        <x:v>Por policy; leitura/análise não exige aprovação. Escritas sensíveis escalam.</x:v>
      </x:c>
      <x:c r="N63" s="14" t="str">
        <x:v>Retry bounded; registrar causa, correlação UUIDv7 e Evidence Ledger.</x:v>
      </x:c>
    </x:row>
    <x:row r="64" ht="64" customHeight="1">
      <x:c r="A64" s="14" t="str">
        <x:v>01a0e473-f619-7298-be0c-c694efd0637c</x:v>
      </x:c>
      <x:c r="B64" s="14" t="n">
        <x:v>25</x:v>
      </x:c>
      <x:c r="C64" s="14" t="str">
        <x:v>WebGPU/GPU Agent</x:v>
      </x:c>
      <x:c r="D64" s="14" t="str">
        <x:v>F15 Skill Runtime + Memory/Context Engine | F19 Repo Intelligence / Tree-sitter | F22 Device Nodes</x:v>
      </x:c>
      <x:c r="E64" s="14" t="str">
        <x:v>Feature gráfica/compute ou gargalo GPU.</x:v>
      </x:c>
      <x:c r="F64" s="14" t="str">
        <x:v>Scene/Graphics requirements e target matrix.</x:v>
      </x:c>
      <x:c r="G64" s="14" t="str">
        <x:v>Implementar backend, otimizar GPU, validar compatibilidade.</x:v>
      </x:c>
      <x:c r="H64" s="14" t="str">
        <x:v>GPU backend + benchmark + compatibility evidence.</x:v>
      </x:c>
      <x:c r="I64" s="14" t="str">
        <x:v>Performance/Compatibility/QA2.</x:v>
      </x:c>
      <x:c r="J64" s="14" t="str">
        <x:v>agent.webgpu.gpu.agent.started / .completed / .failed + evidence.ledger.recorded</x:v>
      </x:c>
      <x:c r="K64" s="14" t="str">
        <x:v>Task UUIDv7 sob demanda; sem lease longa por padrão.</x:v>
      </x:c>
      <x:c r="L64" s="14" t="str">
        <x:v>Checkpoint quando houver write persistente; leitura pura dispensa snapshot.</x:v>
      </x:c>
      <x:c r="M64" s="14" t="str">
        <x:v>Por policy; leitura/análise não exige aprovação. Escritas sensíveis escalam.</x:v>
      </x:c>
      <x:c r="N64" s="14" t="str">
        <x:v>Retry bounded; registrar causa, correlação UUIDv7 e Evidence Ledger.</x:v>
      </x:c>
    </x:row>
    <x:row r="65" ht="64" customHeight="1">
      <x:c r="A65" s="14" t="str">
        <x:v>01a0e473-f61a-75e5-a700-82b23d956190</x:v>
      </x:c>
      <x:c r="B65" s="14" t="n">
        <x:v>26</x:v>
      </x:c>
      <x:c r="C65" s="14" t="str">
        <x:v>PhoenixRustCore Agent</x:v>
      </x:c>
      <x:c r="D65" s="14" t="str">
        <x:v>F15 Skill Runtime + Memory/Context Engine | F16 Scheduler + Background Jobs | F18 MCP + LSP Runtime | F19 Repo Intelligence / Tree-sitter | F22 Device Nodes</x:v>
      </x:c>
      <x:c r="E65" s="14" t="str">
        <x:v>Gap aprovado por hipótese/RFC.</x:v>
      </x:c>
      <x:c r="F65" s="14" t="str">
        <x:v>Rust Gap Database e ADR.</x:v>
      </x:c>
      <x:c r="G65" s="14" t="str">
        <x:v>Criar/alterar crates PhoenixRustCore, deprecar features superadas pelo Rust.</x:v>
      </x:c>
      <x:c r="H65" s="14" t="str">
        <x:v>Crate versionado, testes e benchmark Rust puro vs Phoenix.</x:v>
      </x:c>
      <x:c r="I65" s="14" t="str">
        <x:v>Rust Evolution / QA / Versionador.</x:v>
      </x:c>
      <x:c r="J65" s="14" t="str">
        <x:v>agent.phoenixrustcore.agent.started / .completed / .failed + evidence.ledger.recorded</x:v>
      </x:c>
      <x:c r="K65" s="14" t="str">
        <x:v>Job UUIDv7; lease + heartbeat + fencing_token + resume_token; estado PostgreSQL.</x:v>
      </x:c>
      <x:c r="L65" s="14" t="str">
        <x:v>Checkpoint antes de side effect relevante; hash/manifest; rollback/recovery proof obrigatório quando aplicável.</x:v>
      </x:c>
      <x:c r="M65" s="14" t="str">
        <x:v>Obrigatória para publicação externa, gasto, privilege elevation, ação destrutiva ou exceção constitucional.</x:v>
      </x:c>
      <x:c r="N65" s="14" t="str">
        <x:v>Idempotência; retry exponencial com limite; DLQ; correlation UUIDv7; logs+metrics+traces+evidence.</x:v>
      </x:c>
    </x:row>
    <x:row r="66" ht="64" customHeight="1">
      <x:c r="A66" s="14" t="str">
        <x:v>01a0e473-f61b-7a18-bcb7-555a29859d43</x:v>
      </x:c>
      <x:c r="B66" s="14" t="n">
        <x:v>27</x:v>
      </x:c>
      <x:c r="C66" s="14" t="str">
        <x:v>Compiler Agent</x:v>
      </x:c>
      <x:c r="D66" s="14" t="str">
        <x:v>F15 Skill Runtime + Memory/Context Engine | F18 MCP + LSP Runtime | F19 Repo Intelligence / Tree-sitter | F22 Device Nodes</x:v>
      </x:c>
      <x:c r="E66" s="14" t="str">
        <x:v>Novo frontend/backend ou evolução IR.</x:v>
      </x:c>
      <x:c r="F66" s="14" t="str">
        <x:v>Language specs, IR contracts e acceptance corpus.</x:v>
      </x:c>
      <x:c r="G66" s="14" t="str">
        <x:v>Implementar passes, diagnósticos, codegen e testes de compilador.</x:v>
      </x:c>
      <x:c r="H66" s="14" t="str">
        <x:v>Compiler artifacts, diagnostics e tests.</x:v>
      </x:c>
      <x:c r="I66" s="14" t="str">
        <x:v>Phoenix IR / Fuzz / QA2.</x:v>
      </x:c>
      <x:c r="J66" s="14" t="str">
        <x:v>agent.compiler.agent.started / .completed / .failed + evidence.ledger.recorded</x:v>
      </x:c>
      <x:c r="K66" s="14" t="str">
        <x:v>Task UUIDv7 sob demanda; sem lease longa por padrão.</x:v>
      </x:c>
      <x:c r="L66" s="14" t="str">
        <x:v>Checkpoint antes de side effect relevante; hash/manifest; rollback/recovery proof obrigatório quando aplicável.</x:v>
      </x:c>
      <x:c r="M66" s="14" t="str">
        <x:v>Obrigatória para publicação externa, gasto, privilege elevation, ação destrutiva ou exceção constitucional.</x:v>
      </x:c>
      <x:c r="N66" s="14" t="str">
        <x:v>Fail-closed; retry bounded; side effect não é repetido sem idempotency key; incident/evidence on failure.</x:v>
      </x:c>
    </x:row>
    <x:row r="67" ht="64" customHeight="1">
      <x:c r="A67" s="14" t="str">
        <x:v>01a0e473-f61c-76a6-9a24-862ff8ce3f31</x:v>
      </x:c>
      <x:c r="B67" s="14" t="n">
        <x:v>28</x:v>
      </x:c>
      <x:c r="C67" s="14" t="str">
        <x:v>Phoenix IR Agent</x:v>
      </x:c>
      <x:c r="D67" s="14" t="str">
        <x:v>F15 Skill Runtime + Memory/Context Engine | F17 Checkpoint + Rollback | F19 Repo Intelligence / Tree-sitter | F22 Device Nodes | F25 Knowledge / Evidence Graph</x:v>
      </x:c>
      <x:c r="E67" s="14" t="str">
        <x:v>Nova capacidade sem representação adequada ou breaking change.</x:v>
      </x:c>
      <x:c r="F67" s="14" t="str">
        <x:v>ADRs, compiler requirements e compatibility.</x:v>
      </x:c>
      <x:c r="G67" s="14" t="str">
        <x:v>Evoluir IR, validar invariantes, criar migration.</x:v>
      </x:c>
      <x:c r="H67" s="14" t="str">
        <x:v>Phoenix IR versionada + migration.</x:v>
      </x:c>
      <x:c r="I67" s="14" t="str">
        <x:v>Compiler/Compatibility/Guardian.</x:v>
      </x:c>
      <x:c r="J67" s="14" t="str">
        <x:v>agent.phoenix.ir.agent.started / .completed / .failed + evidence.ledger.recorded</x:v>
      </x:c>
      <x:c r="K67" s="14" t="str">
        <x:v>Task UUIDv7 sob demanda; sem lease longa por padrão.</x:v>
      </x:c>
      <x:c r="L67" s="14" t="str">
        <x:v>Checkpoint antes de side effect relevante; hash/manifest; rollback/recovery proof obrigatório quando aplicável.</x:v>
      </x:c>
      <x:c r="M67" s="14" t="str">
        <x:v>Obrigatória para publicação externa, gasto, privilege elevation, ação destrutiva ou exceção constitucional.</x:v>
      </x:c>
      <x:c r="N67" s="14" t="str">
        <x:v>Fail-closed; retry bounded; side effect não é repetido sem idempotency key; incident/evidence on failure.</x:v>
      </x:c>
    </x:row>
    <x:row r="68" ht="64" customHeight="1">
      <x:c r="A68" s="14" t="str">
        <x:v>01a0e473-f61d-7108-9296-72259235c74d</x:v>
      </x:c>
      <x:c r="B68" s="14" t="n">
        <x:v>29</x:v>
      </x:c>
      <x:c r="C68" s="14" t="str">
        <x:v>PHX JSON Agent</x:v>
      </x:c>
      <x:c r="D68" s="14" t="str">
        <x:v>F15 Skill Runtime + Memory/Context Engine | F17 Checkpoint + Rollback | F19 Repo Intelligence / Tree-sitter | F22 Device Nodes</x:v>
      </x:c>
      <x:c r="E68" s="14" t="str">
        <x:v>Nova entidade/campo ou mudança de contrato.</x:v>
      </x:c>
      <x:c r="F68" s="14" t="str">
        <x:v>Phoenix IR, plugin manifests, templates.</x:v>
      </x:c>
      <x:c r="G68" s="14" t="str">
        <x:v>Versionar schema, validar docs, criar migradores, aplicar JSON Patch.</x:v>
      </x:c>
      <x:c r="H68" s="14" t="str">
        <x:v>Schema/migrator/tests.</x:v>
      </x:c>
      <x:c r="I68" s="14" t="str">
        <x:v>Compatibility / QA.</x:v>
      </x:c>
      <x:c r="J68" s="14" t="str">
        <x:v>agent.phx.json.agent.started / .completed / .failed + evidence.ledger.recorded</x:v>
      </x:c>
      <x:c r="K68" s="14" t="str">
        <x:v>Task UUIDv7 sob demanda; sem lease longa por padrão.</x:v>
      </x:c>
      <x:c r="L68" s="14" t="str">
        <x:v>Checkpoint antes de side effect relevante; hash/manifest; rollback/recovery proof obrigatório quando aplicável.</x:v>
      </x:c>
      <x:c r="M68" s="14" t="str">
        <x:v>Obrigatória para publicação externa, gasto, privilege elevation, ação destrutiva ou exceção constitucional.</x:v>
      </x:c>
      <x:c r="N68" s="14" t="str">
        <x:v>Fail-closed; retry bounded; side effect não é repetido sem idempotency key; incident/evidence on failure.</x:v>
      </x:c>
    </x:row>
    <x:row r="69" ht="64" customHeight="1">
      <x:c r="A69" s="14" t="str">
        <x:v>01a0e473-f61e-7a08-af45-723fadfdbd38</x:v>
      </x:c>
      <x:c r="B69" s="14" t="n">
        <x:v>30</x:v>
      </x:c>
      <x:c r="C69" s="14" t="str">
        <x:v>UUIDv7 Guardian</x:v>
      </x:c>
      <x:c r="D69" s="14" t="str">
        <x:v>F22 Device Nodes | F23 Secret &amp; Credential Broker</x:v>
      </x:c>
      <x:c r="E69" s="14" t="str">
        <x:v>Persistência, migration, clone ou import.</x:v>
      </x:c>
      <x:c r="F69" s="14" t="str">
        <x:v>Objeto/graph state.</x:v>
      </x:c>
      <x:c r="G69" s="14" t="str">
        <x:v>Bloquear UUID inválido/duplicado, auditar referências quebradas.</x:v>
      </x:c>
      <x:c r="H69" s="14" t="str">
        <x:v>Identity report e gate.</x:v>
      </x:c>
      <x:c r="I69" s="14" t="str">
        <x:v>PHX JSON/Template/Migration QA.</x:v>
      </x:c>
      <x:c r="J69" s="14" t="str">
        <x:v>agent.uuidv7.guardian.started / .completed / .failed + evidence.ledger.recorded</x:v>
      </x:c>
      <x:c r="K69" s="14" t="str">
        <x:v>Service loop com heartbeat; tasks idempotentes; estado persistente.</x:v>
      </x:c>
      <x:c r="L69" s="14" t="str">
        <x:v>Checkpoint antes de side effect relevante; hash/manifest; rollback/recovery proof obrigatório quando aplicável.</x:v>
      </x:c>
      <x:c r="M69" s="14" t="str">
        <x:v>Obrigatória para publicação externa, gasto, privilege elevation, ação destrutiva ou exceção constitucional.</x:v>
      </x:c>
      <x:c r="N69" s="14" t="str">
        <x:v>Fail-closed; retry bounded; side effect não é repetido sem idempotency key; incident/evidence on failure.</x:v>
      </x:c>
    </x:row>
    <x:row r="70" ht="64" customHeight="1">
      <x:c r="A70" s="14" t="str">
        <x:v>01a0e473-f61f-706e-a43f-f39a2a424cc8</x:v>
      </x:c>
      <x:c r="B70" s="14" t="n">
        <x:v>31</x:v>
      </x:c>
      <x:c r="C70" s="14" t="str">
        <x:v>Template Engine Agent</x:v>
      </x:c>
      <x:c r="D70" s="14" t="str">
        <x:v>F15 Skill Runtime + Memory/Context Engine | F17 Checkpoint + Rollback | F19 Repo Intelligence / Tree-sitter | F22 Device Nodes</x:v>
      </x:c>
      <x:c r="E70" s="14" t="str">
        <x:v>Feature de template ou alteração em modelo mestre.</x:v>
      </x:c>
      <x:c r="F70" s="14" t="str">
        <x:v>Component Model e contracts.</x:v>
      </x:c>
      <x:c r="G70" s="14" t="str">
        <x:v>Criar template engine, resolver dependências, propagar, rollback.</x:v>
      </x:c>
      <x:c r="H70" s="14" t="str">
        <x:v>Template runtime + impact evidence.</x:v>
      </x:c>
      <x:c r="I70" s="14" t="str">
        <x:v>OPA/Regression/Compatibility.</x:v>
      </x:c>
      <x:c r="J70" s="14" t="str">
        <x:v>agent.template.engine.agent.started / .completed / .failed + evidence.ledger.recorded</x:v>
      </x:c>
      <x:c r="K70" s="14" t="str">
        <x:v>Task UUIDv7 sob demanda; sem lease longa por padrão.</x:v>
      </x:c>
      <x:c r="L70" s="14" t="str">
        <x:v>Checkpoint antes de side effect relevante; hash/manifest; rollback/recovery proof obrigatório quando aplicável.</x:v>
      </x:c>
      <x:c r="M70" s="14" t="str">
        <x:v>Obrigatória para publicação externa, gasto, privilege elevation, ação destrutiva ou exceção constitucional.</x:v>
      </x:c>
      <x:c r="N70" s="14" t="str">
        <x:v>Fail-closed; retry bounded; side effect não é repetido sem idempotency key; incident/evidence on failure.</x:v>
      </x:c>
    </x:row>
    <x:row r="71" ht="64" customHeight="1">
      <x:c r="A71" s="14" t="str">
        <x:v>01a0e473-f620-7533-9bea-64a668b0ee29</x:v>
      </x:c>
      <x:c r="B71" s="14" t="n">
        <x:v>32</x:v>
      </x:c>
      <x:c r="C71" s="14" t="str">
        <x:v>Event/Command Agent</x:v>
      </x:c>
      <x:c r="D71" s="14" t="str">
        <x:v>F15 Skill Runtime + Memory/Context Engine | F16 Scheduler + Background Jobs | F19 Repo Intelligence / Tree-sitter | F22 Device Nodes | F25 Knowledge / Evidence Graph</x:v>
      </x:c>
      <x:c r="E71" s="14" t="str">
        <x:v>Nova interação, ação ou comportamento.</x:v>
      </x:c>
      <x:c r="F71" s="14" t="str">
        <x:v>Component/behavior contracts.</x:v>
      </x:c>
      <x:c r="G71" s="14" t="str">
        <x:v>Criar event/command runtime e contratos.</x:v>
      </x:c>
      <x:c r="H71" s="14" t="str">
        <x:v>Runtime + tests + trace semantics.</x:v>
      </x:c>
      <x:c r="I71" s="14" t="str">
        <x:v>Reactive/Behavior/QA.</x:v>
      </x:c>
      <x:c r="J71" s="14" t="str">
        <x:v>agent.event.command.agent.started / .completed / .failed + evidence.ledger.recorded</x:v>
      </x:c>
      <x:c r="K71" s="14" t="str">
        <x:v>Job UUIDv7; lease + heartbeat + fencing_token + resume_token; estado PostgreSQL.</x:v>
      </x:c>
      <x:c r="L71" s="14" t="str">
        <x:v>Checkpoint quando houver write persistente; leitura pura dispensa snapshot.</x:v>
      </x:c>
      <x:c r="M71" s="14" t="str">
        <x:v>Por policy; leitura/análise não exige aprovação. Escritas sensíveis escalam.</x:v>
      </x:c>
      <x:c r="N71" s="14" t="str">
        <x:v>Idempotência; retry exponencial com limite; DLQ; correlation UUIDv7; logs+metrics+traces+evidence.</x:v>
      </x:c>
    </x:row>
    <x:row r="72" ht="64" customHeight="1">
      <x:c r="A72" s="14" t="str">
        <x:v>01a0e473-f621-76d1-b870-fd3b55c7c313</x:v>
      </x:c>
      <x:c r="B72" s="14" t="n">
        <x:v>33</x:v>
      </x:c>
      <x:c r="C72" s="14" t="str">
        <x:v>Reactive Agent</x:v>
      </x:c>
      <x:c r="D72" s="14" t="str">
        <x:v>F15 Skill Runtime + Memory/Context Engine | F16 Scheduler + Background Jobs | F18 MCP + LSP Runtime | F19 Repo Intelligence / Tree-sitter | F22 Device Nodes</x:v>
      </x:c>
      <x:c r="E72" s="14" t="str">
        <x:v>UI/data binding ou state management.</x:v>
      </x:c>
      <x:c r="F72" s="14" t="str">
        <x:v>Component state e contracts.</x:v>
      </x:c>
      <x:c r="G72" s="14" t="str">
        <x:v>Implementar reactive core, medir propagação e detectar loops.</x:v>
      </x:c>
      <x:c r="H72" s="14" t="str">
        <x:v>Reactive Core + benchmarks.</x:v>
      </x:c>
      <x:c r="I72" s="14" t="str">
        <x:v>UI/Performance/QA.</x:v>
      </x:c>
      <x:c r="J72" s="14" t="str">
        <x:v>agent.reactive.agent.started / .completed / .failed + evidence.ledger.recorded</x:v>
      </x:c>
      <x:c r="K72" s="14" t="str">
        <x:v>Job UUIDv7; lease + heartbeat + fencing_token + resume_token; estado PostgreSQL.</x:v>
      </x:c>
      <x:c r="L72" s="14" t="str">
        <x:v>Checkpoint quando houver write persistente; leitura pura dispensa snapshot.</x:v>
      </x:c>
      <x:c r="M72" s="14" t="str">
        <x:v>Por policy; leitura/análise não exige aprovação. Escritas sensíveis escalam.</x:v>
      </x:c>
      <x:c r="N72" s="14" t="str">
        <x:v>Idempotência; retry exponencial com limite; DLQ; correlation UUIDv7; logs+metrics+traces+evidence.</x:v>
      </x:c>
    </x:row>
    <x:row r="73" ht="64" customHeight="1">
      <x:c r="A73" s="14" t="str">
        <x:v>01a0e473-f622-7f3f-ae87-743175a5d8ea</x:v>
      </x:c>
      <x:c r="B73" s="14" t="n">
        <x:v>34</x:v>
      </x:c>
      <x:c r="C73" s="14" t="str">
        <x:v>UI/RAD Agent</x:v>
      </x:c>
      <x:c r="D73" s="14" t="str">
        <x:v>F18 MCP + LSP Runtime | F22 Device Nodes</x:v>
      </x:c>
      <x:c r="E73" s="14" t="str">
        <x:v>Feature visual ou RAD.</x:v>
      </x:c>
      <x:c r="F73" s="14" t="str">
        <x:v>Creative specs, templates e runtime.</x:v>
      </x:c>
      <x:c r="G73" s="14" t="str">
        <x:v>Criar controles e Designer, gerar/editar IR.</x:v>
      </x:c>
      <x:c r="H73" s="14" t="str">
        <x:v>UI components + designer functionality.</x:v>
      </x:c>
      <x:c r="I73" s="14" t="str">
        <x:v>Creative Studio → Accessibility → User Proof.</x:v>
      </x:c>
      <x:c r="J73" s="14" t="str">
        <x:v>agent.ui.rad.agent.started / .completed / .failed + evidence.ledger.recorded</x:v>
      </x:c>
      <x:c r="K73" s="14" t="str">
        <x:v>Task UUIDv7 sob demanda; sem lease longa por padrão.</x:v>
      </x:c>
      <x:c r="L73" s="14" t="str">
        <x:v>Checkpoint quando houver write persistente; leitura pura dispensa snapshot.</x:v>
      </x:c>
      <x:c r="M73" s="14" t="str">
        <x:v>Por policy; leitura/análise não exige aprovação. Escritas sensíveis escalam.</x:v>
      </x:c>
      <x:c r="N73" s="14" t="str">
        <x:v>Retry bounded; registrar causa, correlação UUIDv7 e Evidence Ledger.</x:v>
      </x:c>
    </x:row>
    <x:row r="74" ht="64" customHeight="1">
      <x:c r="A74" s="14" t="str">
        <x:v>01a0e473-f623-7e37-91d5-fd9a71c267ad</x:v>
      </x:c>
      <x:c r="B74" s="14" t="n">
        <x:v>35</x:v>
      </x:c>
      <x:c r="C74" s="14" t="str">
        <x:v>Action/Media Agent</x:v>
      </x:c>
      <x:c r="D74" s="14" t="str">
        <x:v>F15 Skill Runtime + Memory/Context Engine | F18 MCP + LSP Runtime | F22 Device Nodes</x:v>
      </x:c>
      <x:c r="E74" s="14" t="str">
        <x:v>Feature de animação, visual, mídia ou migração ActionScript.</x:v>
      </x:c>
      <x:c r="F74" s="14" t="str">
        <x:v>Phoenix IR Media + graphics contracts.</x:v>
      </x:c>
      <x:c r="G74" s="14" t="str">
        <x:v>Implementar media runtime e APIs modernas/compat.</x:v>
      </x:c>
      <x:c r="H74" s="14" t="str">
        <x:v>Phoenix Media Runtime + demos.</x:v>
      </x:c>
      <x:c r="I74" s="14" t="str">
        <x:v>GPU/WASM/QA visual.</x:v>
      </x:c>
      <x:c r="J74" s="14" t="str">
        <x:v>agent.action.media.agent.started / .completed / .failed + evidence.ledger.recorded</x:v>
      </x:c>
      <x:c r="K74" s="14" t="str">
        <x:v>Task UUIDv7 sob demanda; sem lease longa por padrão.</x:v>
      </x:c>
      <x:c r="L74" s="14" t="str">
        <x:v>Checkpoint quando houver write persistente; leitura pura dispensa snapshot.</x:v>
      </x:c>
      <x:c r="M74" s="14" t="str">
        <x:v>Por policy; leitura/análise não exige aprovação. Escritas sensíveis escalam.</x:v>
      </x:c>
      <x:c r="N74" s="14" t="str">
        <x:v>Retry bounded; registrar causa, correlação UUIDv7 e Evidence Ledger.</x:v>
      </x:c>
    </x:row>
    <x:row r="75" ht="64" customHeight="1">
      <x:c r="A75" s="14" t="str">
        <x:v>01a0e473-f624-7dc6-a802-a5b8d35664a9</x:v>
      </x:c>
      <x:c r="B75" s="14" t="n">
        <x:v>36</x:v>
      </x:c>
      <x:c r="C75" s="14" t="str">
        <x:v>Data Agent</x:v>
      </x:c>
      <x:c r="D75" s="14" t="str">
        <x:v>F18 MCP + LSP Runtime | F19 Repo Intelligence / Tree-sitter | F21 Channel Gateway | F25 Knowledge / Evidence Graph</x:v>
      </x:c>
      <x:c r="E75" s="14" t="str">
        <x:v>Feature que persiste/consulta dados.</x:v>
      </x:c>
      <x:c r="F75" s="14" t="str">
        <x:v>Model/schema requirements.</x:v>
      </x:c>
      <x:c r="G75" s="14" t="str">
        <x:v>Criar APIs de dados e providers.</x:v>
      </x:c>
      <x:c r="H75" s="14" t="str">
        <x:v>Data layer + contract tests.</x:v>
      </x:c>
      <x:c r="I75" s="14" t="str">
        <x:v>PostgreSQL/Integration.</x:v>
      </x:c>
      <x:c r="J75" s="14" t="str">
        <x:v>agent.data.agent.started / .completed / .failed + evidence.ledger.recorded</x:v>
      </x:c>
      <x:c r="K75" s="14" t="str">
        <x:v>Task UUIDv7 sob demanda; sem lease longa por padrão.</x:v>
      </x:c>
      <x:c r="L75" s="14" t="str">
        <x:v>Checkpoint quando houver write persistente; leitura pura dispensa snapshot.</x:v>
      </x:c>
      <x:c r="M75" s="14" t="str">
        <x:v>Por policy; leitura/análise não exige aprovação. Escritas sensíveis escalam.</x:v>
      </x:c>
      <x:c r="N75" s="14" t="str">
        <x:v>Retry bounded; registrar causa, correlação UUIDv7 e Evidence Ledger.</x:v>
      </x:c>
    </x:row>
    <x:row r="76" ht="64" customHeight="1">
      <x:c r="A76" s="14" t="str">
        <x:v>01a0e473-f625-70a7-a3c0-51a2b0ec74c7</x:v>
      </x:c>
      <x:c r="B76" s="14" t="n">
        <x:v>37</x:v>
      </x:c>
      <x:c r="C76" s="14" t="str">
        <x:v>PostgreSQL Agent</x:v>
      </x:c>
      <x:c r="D76" s="14" t="str">
        <x:v>F17 Checkpoint + Rollback | F18 MCP + LSP Runtime | F19 Repo Intelligence / Tree-sitter | F21 Channel Gateway | F25 Knowledge / Evidence Graph</x:v>
      </x:c>
      <x:c r="E76" s="14" t="str">
        <x:v>Mudança de schema, query lenta, persistência PhoenixClaw.</x:v>
      </x:c>
      <x:c r="F76" s="14" t="str">
        <x:v>Data contracts e workload.</x:v>
      </x:c>
      <x:c r="G76" s="14" t="str">
        <x:v>Criar/otimizar migrations e queries, diagnosticar DB.</x:v>
      </x:c>
      <x:c r="H76" s="14" t="str">
        <x:v>Migration + query evidence + tuning report.</x:v>
      </x:c>
      <x:c r="I76" s="14" t="str">
        <x:v>Migration Guardian/Backup/QA.</x:v>
      </x:c>
      <x:c r="J76" s="14" t="str">
        <x:v>agent.postgresql.agent.started / .completed / .failed + evidence.ledger.recorded</x:v>
      </x:c>
      <x:c r="K76" s="14" t="str">
        <x:v>Service loop com heartbeat; tasks idempotentes; estado persistente.</x:v>
      </x:c>
      <x:c r="L76" s="14" t="str">
        <x:v>Checkpoint antes de side effect relevante; hash/manifest; rollback/recovery proof obrigatório quando aplicável.</x:v>
      </x:c>
      <x:c r="M76" s="14" t="str">
        <x:v>Obrigatória para publicação externa, gasto, privilege elevation, ação destrutiva ou exceção constitucional.</x:v>
      </x:c>
      <x:c r="N76" s="14" t="str">
        <x:v>Fail-closed; retry bounded; side effect não é repetido sem idempotency key; incident/evidence on failure.</x:v>
      </x:c>
    </x:row>
    <x:row r="77" ht="64" customHeight="1">
      <x:c r="A77" s="14" t="str">
        <x:v>01a0e473-f626-7e15-8998-5083b3ec2423</x:v>
      </x:c>
      <x:c r="B77" s="14" t="n">
        <x:v>38</x:v>
      </x:c>
      <x:c r="C77" s="14" t="str">
        <x:v>Octopus Agent</x:v>
      </x:c>
      <x:c r="D77" s="14" t="str">
        <x:v>F15 Skill Runtime + Memory/Context Engine | F17 Checkpoint + Rollback | F19 Repo Intelligence / Tree-sitter | F22 Device Nodes</x:v>
      </x:c>
      <x:c r="E77" s="14" t="str">
        <x:v>Projeto legado ou novo frontend de linguagem.</x:v>
      </x:c>
      <x:c r="F77" s="14" t="str">
        <x:v>Source code, specs e mapping rules.</x:v>
      </x:c>
      <x:c r="G77" s="14" t="str">
        <x:v>Converter, mapear, sinalizar desconhecidos, gerar tests/migration report.</x:v>
      </x:c>
      <x:c r="H77" s="14" t="str">
        <x:v>Phoenix IR + report + tests.</x:v>
      </x:c>
      <x:c r="I77" s="14" t="str">
        <x:v>Migration Guardian/Compatibility/OPA.</x:v>
      </x:c>
      <x:c r="J77" s="14" t="str">
        <x:v>agent.octopus.agent.started / .completed / .failed + evidence.ledger.recorded</x:v>
      </x:c>
      <x:c r="K77" s="14" t="str">
        <x:v>Task UUIDv7 sob demanda; sem lease longa por padrão.</x:v>
      </x:c>
      <x:c r="L77" s="14" t="str">
        <x:v>Checkpoint antes de side effect relevante; hash/manifest; rollback/recovery proof obrigatório quando aplicável.</x:v>
      </x:c>
      <x:c r="M77" s="14" t="str">
        <x:v>Obrigatória para publicação externa, gasto, privilege elevation, ação destrutiva ou exceção constitucional.</x:v>
      </x:c>
      <x:c r="N77" s="14" t="str">
        <x:v>Fail-closed; retry bounded; side effect não é repetido sem idempotency key; incident/evidence on failure.</x:v>
      </x:c>
    </x:row>
    <x:row r="78" ht="64" customHeight="1">
      <x:c r="A78" s="14" t="str">
        <x:v>01a0e473-f627-75ee-a2ef-53a64bb8f06a</x:v>
      </x:c>
      <x:c r="B78" s="14" t="n">
        <x:v>39</x:v>
      </x:c>
      <x:c r="C78" s="14" t="str">
        <x:v>Localization / NSL Agent</x:v>
      </x:c>
      <x:c r="D78" s="14" t="str">
        <x:v>F18 MCP + LSP Runtime | F21 Channel Gateway | F25 Knowledge / Evidence Graph</x:v>
      </x:c>
      <x:c r="E78" s="14" t="str">
        <x:v>Feature com texto de usuário ou nova língua.</x:v>
      </x:c>
      <x:c r="F78" s="14" t="str">
        <x:v>UI/API messages e locale policy.</x:v>
      </x:c>
      <x:c r="G78" s="14" t="str">
        <x:v>Extrair strings, validar keys, criar traduções e bloquear hardcode.</x:v>
      </x:c>
      <x:c r="H78" s="14" t="str">
        <x:v>Catálogos + i18n report.</x:v>
      </x:c>
      <x:c r="I78" s="14" t="str">
        <x:v>Accessibility/User Proof/QA.</x:v>
      </x:c>
      <x:c r="J78" s="14" t="str">
        <x:v>agent.localization.nsl.agent.started / .completed / .failed + evidence.ledger.recorded</x:v>
      </x:c>
      <x:c r="K78" s="14" t="str">
        <x:v>Service loop com heartbeat; tasks idempotentes; estado persistente.</x:v>
      </x:c>
      <x:c r="L78" s="14" t="str">
        <x:v>Checkpoint quando houver write persistente; leitura pura dispensa snapshot.</x:v>
      </x:c>
      <x:c r="M78" s="14" t="str">
        <x:v>Por policy; leitura/análise não exige aprovação. Escritas sensíveis escalam.</x:v>
      </x:c>
      <x:c r="N78" s="14" t="str">
        <x:v>Retry bounded; registrar causa, correlação UUIDv7 e Evidence Ledger.</x:v>
      </x:c>
    </x:row>
    <x:row r="79" ht="64" customHeight="1">
      <x:c r="A79" s="14" t="str">
        <x:v>01a0e473-f628-7932-8302-5aec809de110</x:v>
      </x:c>
      <x:c r="B79" s="14" t="n">
        <x:v>40</x:v>
      </x:c>
      <x:c r="C79" s="14" t="str">
        <x:v>Unit Test Agent</x:v>
      </x:c>
      <x:c r="D79" s="14" t="str">
        <x:v>F15 Skill Runtime + Memory/Context Engine | F18 MCP + LSP Runtime</x:v>
      </x:c>
      <x:c r="E79" s="14" t="str">
        <x:v>Nova função/módulo ou bug local.</x:v>
      </x:c>
      <x:c r="F79" s="14" t="str">
        <x:v>Acceptance Criteria e API.</x:v>
      </x:c>
      <x:c r="G79" s="14" t="str">
        <x:v>Escrever/rodar unit tests e registrar resultados.</x:v>
      </x:c>
      <x:c r="H79" s="14" t="str">
        <x:v>Unit test report.</x:v>
      </x:c>
      <x:c r="I79" s="14" t="str">
        <x:v>Jones / QA1.</x:v>
      </x:c>
      <x:c r="J79" s="14" t="str">
        <x:v>agent.unit.test.agent.started / .completed / .failed + evidence.ledger.recorded</x:v>
      </x:c>
      <x:c r="K79" s="14" t="str">
        <x:v>Task UUIDv7 sob demanda; sem lease longa por padrão.</x:v>
      </x:c>
      <x:c r="L79" s="14" t="str">
        <x:v>Checkpoint quando houver write persistente; leitura pura dispensa snapshot.</x:v>
      </x:c>
      <x:c r="M79" s="14" t="str">
        <x:v>Por policy; leitura/análise não exige aprovação. Escritas sensíveis escalam.</x:v>
      </x:c>
      <x:c r="N79" s="14" t="str">
        <x:v>Retry bounded; registrar causa, correlação UUIDv7 e Evidence Ledger.</x:v>
      </x:c>
    </x:row>
    <x:row r="80" ht="64" customHeight="1">
      <x:c r="A80" s="14" t="str">
        <x:v>01a0e473-f629-769b-bb50-4313738edb4d</x:v>
      </x:c>
      <x:c r="B80" s="14" t="n">
        <x:v>41</x:v>
      </x:c>
      <x:c r="C80" s="14" t="str">
        <x:v>Integration Test Agent</x:v>
      </x:c>
      <x:c r="D80" s="14" t="str">
        <x:v>F16 Scheduler + Background Jobs | F18 MCP + LSP Runtime | F21 Channel Gateway</x:v>
      </x:c>
      <x:c r="E80" s="14" t="str">
        <x:v>Mudança cross-module.</x:v>
      </x:c>
      <x:c r="F80" s="14" t="str">
        <x:v>Contracts + builds.</x:v>
      </x:c>
      <x:c r="G80" s="14" t="str">
        <x:v>Montar ambiente e executar integração.</x:v>
      </x:c>
      <x:c r="H80" s="14" t="str">
        <x:v>Integration report.</x:v>
      </x:c>
      <x:c r="I80" s="14" t="str">
        <x:v>QA2.</x:v>
      </x:c>
      <x:c r="J80" s="14" t="str">
        <x:v>agent.integration.test.agent.started / .completed / .failed + evidence.ledger.recorded</x:v>
      </x:c>
      <x:c r="K80" s="14" t="str">
        <x:v>Job UUIDv7; lease + heartbeat + fencing_token + resume_token; estado PostgreSQL.</x:v>
      </x:c>
      <x:c r="L80" s="14" t="str">
        <x:v>Checkpoint quando houver write persistente; leitura pura dispensa snapshot.</x:v>
      </x:c>
      <x:c r="M80" s="14" t="str">
        <x:v>Por policy; leitura/análise não exige aprovação. Escritas sensíveis escalam.</x:v>
      </x:c>
      <x:c r="N80" s="14" t="str">
        <x:v>Idempotência; retry exponencial com limite; DLQ; correlation UUIDv7; logs+metrics+traces+evidence.</x:v>
      </x:c>
    </x:row>
    <x:row r="81" ht="64" customHeight="1">
      <x:c r="A81" s="14" t="str">
        <x:v>01a0e473-f62a-7c4c-8c76-539596e38bd3</x:v>
      </x:c>
      <x:c r="B81" s="14" t="n">
        <x:v>42</x:v>
      </x:c>
      <x:c r="C81" s="14" t="str">
        <x:v>E2E Agent</x:v>
      </x:c>
      <x:c r="D81" s="14" t="str">
        <x:v>F15 Skill Runtime + Memory/Context Engine | F22 Device Nodes</x:v>
      </x:c>
      <x:c r="E81" s="14" t="str">
        <x:v>Feature pronta para validação funcional.</x:v>
      </x:c>
      <x:c r="F81" s="14" t="str">
        <x:v>Acceptance Criteria e release candidate.</x:v>
      </x:c>
      <x:c r="G81" s="14" t="str">
        <x:v>Executar jornada e produzir evidência.</x:v>
      </x:c>
      <x:c r="H81" s="14" t="str">
        <x:v>E2E evidence.</x:v>
      </x:c>
      <x:c r="I81" s="14" t="str">
        <x:v>OPA/QA3.</x:v>
      </x:c>
      <x:c r="J81" s="14" t="str">
        <x:v>agent.e2e.agent.started / .completed / .failed + evidence.ledger.recorded</x:v>
      </x:c>
      <x:c r="K81" s="14" t="str">
        <x:v>Task UUIDv7 sob demanda; sem lease longa por padrão.</x:v>
      </x:c>
      <x:c r="L81" s="14" t="str">
        <x:v>Checkpoint quando houver write persistente; leitura pura dispensa snapshot.</x:v>
      </x:c>
      <x:c r="M81" s="14" t="str">
        <x:v>Por policy; leitura/análise não exige aprovação. Escritas sensíveis escalam.</x:v>
      </x:c>
      <x:c r="N81" s="14" t="str">
        <x:v>Retry bounded; registrar causa, correlação UUIDv7 e Evidence Ledger.</x:v>
      </x:c>
    </x:row>
    <x:row r="82" ht="64" customHeight="1">
      <x:c r="A82" s="14" t="str">
        <x:v>01a0e473-f62b-72ef-88da-f7c5dd2b33f9</x:v>
      </x:c>
      <x:c r="B82" s="14" t="n">
        <x:v>43</x:v>
      </x:c>
      <x:c r="C82" s="14" t="str">
        <x:v>Browser/WASM Test Agent</x:v>
      </x:c>
      <x:c r="D82" s="14" t="str">
        <x:v>F17 Checkpoint + Rollback | F22 Device Nodes</x:v>
      </x:c>
      <x:c r="E82" s="14" t="str">
        <x:v>Mudança WASM/Web.</x:v>
      </x:c>
      <x:c r="F82" s="14" t="str">
        <x:v>WASM build e target matrix.</x:v>
      </x:c>
      <x:c r="G82" s="14" t="str">
        <x:v>Executar browser matrix e coletar traces.</x:v>
      </x:c>
      <x:c r="H82" s="14" t="str">
        <x:v>Browser compatibility report.</x:v>
      </x:c>
      <x:c r="I82" s="14" t="str">
        <x:v>Compatibility/QA2.</x:v>
      </x:c>
      <x:c r="J82" s="14" t="str">
        <x:v>agent.browser.wasm.test.agent.started / .completed / .failed + evidence.ledger.recorded</x:v>
      </x:c>
      <x:c r="K82" s="14" t="str">
        <x:v>Task UUIDv7 sob demanda; sem lease longa por padrão.</x:v>
      </x:c>
      <x:c r="L82" s="14" t="str">
        <x:v>Checkpoint antes de side effect relevante; hash/manifest; rollback/recovery proof obrigatório quando aplicável.</x:v>
      </x:c>
      <x:c r="M82" s="14" t="str">
        <x:v>Por policy; leitura/análise não exige aprovação. Escritas sensíveis escalam.</x:v>
      </x:c>
      <x:c r="N82" s="14" t="str">
        <x:v>Retry bounded; registrar causa, correlação UUIDv7 e Evidence Ledger.</x:v>
      </x:c>
    </x:row>
    <x:row r="83" ht="64" customHeight="1">
      <x:c r="A83" s="14" t="str">
        <x:v>01a0e473-f62c-74a3-a753-db209bca4317</x:v>
      </x:c>
      <x:c r="B83" s="14" t="n">
        <x:v>44</x:v>
      </x:c>
      <x:c r="C83" s="14" t="str">
        <x:v>Regression Agent</x:v>
      </x:c>
      <x:c r="D83" s="14" t="str">
        <x:v>F22 Device Nodes</x:v>
      </x:c>
      <x:c r="E83" s="14" t="str">
        <x:v>Toda correção e release.</x:v>
      </x:c>
      <x:c r="F83" s="14" t="str">
        <x:v>Regression catalog.</x:v>
      </x:c>
      <x:c r="G83" s="14" t="str">
        <x:v>Executar regressão e abrir bloqueio se caso histórico falhar.</x:v>
      </x:c>
      <x:c r="H83" s="14" t="str">
        <x:v>Regression report.</x:v>
      </x:c>
      <x:c r="I83" s="14" t="str">
        <x:v>QA2/Release.</x:v>
      </x:c>
      <x:c r="J83" s="14" t="str">
        <x:v>agent.regression.agent.started / .completed / .failed + evidence.ledger.recorded</x:v>
      </x:c>
      <x:c r="K83" s="14" t="str">
        <x:v>Service loop com heartbeat; tasks idempotentes; estado persistente.</x:v>
      </x:c>
      <x:c r="L83" s="14" t="str">
        <x:v>Checkpoint quando houver write persistente; leitura pura dispensa snapshot.</x:v>
      </x:c>
      <x:c r="M83" s="14" t="str">
        <x:v>Por policy; leitura/análise não exige aprovação. Escritas sensíveis escalam.</x:v>
      </x:c>
      <x:c r="N83" s="14" t="str">
        <x:v>Retry bounded; registrar causa, correlação UUIDv7 e Evidence Ledger.</x:v>
      </x:c>
    </x:row>
    <x:row r="84" ht="64" customHeight="1">
      <x:c r="A84" s="14" t="str">
        <x:v>01a0e473-f62d-7437-9b52-a3e942163219</x:v>
      </x:c>
      <x:c r="B84" s="14" t="n">
        <x:v>45</x:v>
      </x:c>
      <x:c r="C84" s="14" t="str">
        <x:v>Fuzz Agent</x:v>
      </x:c>
      <x:c r="D84" s="14" t="str">
        <x:v>F15 Skill Runtime + Memory/Context Engine</x:v>
      </x:c>
      <x:c r="E84" s="14" t="str">
        <x:v>Parsers, codecs, schemas, protocolos e código crítico.</x:v>
      </x:c>
      <x:c r="F84" s="14" t="str">
        <x:v>Target fuzzável e invariantes.</x:v>
      </x:c>
      <x:c r="G84" s="14" t="str">
        <x:v>Fuzz, minimizar crash, registrar seed.</x:v>
      </x:c>
      <x:c r="H84" s="14" t="str">
        <x:v>Crash/minimized testcase/evidence.</x:v>
      </x:c>
      <x:c r="I84" s="14" t="str">
        <x:v>Brown/Jones/Security.</x:v>
      </x:c>
      <x:c r="J84" s="14" t="str">
        <x:v>agent.fuzz.agent.started / .completed / .failed + evidence.ledger.recorded</x:v>
      </x:c>
      <x:c r="K84" s="14" t="str">
        <x:v>Task UUIDv7 sob demanda; sem lease longa por padrão.</x:v>
      </x:c>
      <x:c r="L84" s="14" t="str">
        <x:v>Checkpoint quando houver write persistente; leitura pura dispensa snapshot.</x:v>
      </x:c>
      <x:c r="M84" s="14" t="str">
        <x:v>Por policy; leitura/análise não exige aprovação. Escritas sensíveis escalam.</x:v>
      </x:c>
      <x:c r="N84" s="14" t="str">
        <x:v>Retry bounded; registrar causa, correlação UUIDv7 e Evidence Ledger.</x:v>
      </x:c>
    </x:row>
    <x:row r="85" ht="64" customHeight="1">
      <x:c r="A85" s="14" t="str">
        <x:v>01a0e473-f62e-76dd-9584-db8fba3cc8c4</x:v>
      </x:c>
      <x:c r="B85" s="14" t="n">
        <x:v>46</x:v>
      </x:c>
      <x:c r="C85" s="14" t="str">
        <x:v>Visual Regression Agent</x:v>
      </x:c>
      <x:c r="D85" s="14" t="str">
        <x:v>F17 Checkpoint + Rollback</x:v>
      </x:c>
      <x:c r="E85" s="14" t="str">
        <x:v>Mudança UI/template/theme.</x:v>
      </x:c>
      <x:c r="F85" s="14" t="str">
        <x:v>Approved baseline.</x:v>
      </x:c>
      <x:c r="G85" s="14" t="str">
        <x:v>Comparar e classificar diffs visuais.</x:v>
      </x:c>
      <x:c r="H85" s="14" t="str">
        <x:v>Visual diff evidence.</x:v>
      </x:c>
      <x:c r="I85" s="14" t="str">
        <x:v>Creative/QA2.</x:v>
      </x:c>
      <x:c r="J85" s="14" t="str">
        <x:v>agent.visual.regression.agent.started / .completed / .failed + evidence.ledger.recorded</x:v>
      </x:c>
      <x:c r="K85" s="14" t="str">
        <x:v>Task UUIDv7 sob demanda; sem lease longa por padrão.</x:v>
      </x:c>
      <x:c r="L85" s="14" t="str">
        <x:v>Checkpoint antes de side effect relevante; hash/manifest; rollback/recovery proof obrigatório quando aplicável.</x:v>
      </x:c>
      <x:c r="M85" s="14" t="str">
        <x:v>Por policy; leitura/análise não exige aprovação. Escritas sensíveis escalam.</x:v>
      </x:c>
      <x:c r="N85" s="14" t="str">
        <x:v>Retry bounded; registrar causa, correlação UUIDv7 e Evidence Ledger.</x:v>
      </x:c>
    </x:row>
    <x:row r="86" ht="64" customHeight="1">
      <x:c r="A86" s="14" t="str">
        <x:v>01a0e473-f62f-7ac4-bbff-acbe3d50586d</x:v>
      </x:c>
      <x:c r="B86" s="14" t="n">
        <x:v>47</x:v>
      </x:c>
      <x:c r="C86" s="14" t="str">
        <x:v>Performance Test Agent</x:v>
      </x:c>
      <x:c r="D86" s="14" t="str">
        <x:v>F17 Checkpoint + Rollback</x:v>
      </x:c>
      <x:c r="E86" s="14" t="str">
        <x:v>Mudança em hot path/release.</x:v>
      </x:c>
      <x:c r="F86" s="14" t="str">
        <x:v>Benchmark definitions.</x:v>
      </x:c>
      <x:c r="G86" s="14" t="str">
        <x:v>Rodar perf suite e gate thresholds.</x:v>
      </x:c>
      <x:c r="H86" s="14" t="str">
        <x:v>Performance Gate.</x:v>
      </x:c>
      <x:c r="I86" s="14" t="str">
        <x:v>Jackson/QA2.</x:v>
      </x:c>
      <x:c r="J86" s="14" t="str">
        <x:v>agent.performance.test.agent.started / .completed / .failed + evidence.ledger.recorded</x:v>
      </x:c>
      <x:c r="K86" s="14" t="str">
        <x:v>Task UUIDv7 sob demanda; sem lease longa por padrão.</x:v>
      </x:c>
      <x:c r="L86" s="14" t="str">
        <x:v>Checkpoint antes de side effect relevante; hash/manifest; rollback/recovery proof obrigatório quando aplicável.</x:v>
      </x:c>
      <x:c r="M86" s="14" t="str">
        <x:v>Por policy; leitura/análise não exige aprovação. Escritas sensíveis escalam.</x:v>
      </x:c>
      <x:c r="N86" s="14" t="str">
        <x:v>Retry bounded; registrar causa, correlação UUIDv7 e Evidence Ledger.</x:v>
      </x:c>
    </x:row>
    <x:row r="87" ht="64" customHeight="1">
      <x:c r="A87" s="14" t="str">
        <x:v>01a0e473-f630-7221-98bb-b391fe065545</x:v>
      </x:c>
      <x:c r="B87" s="14" t="n">
        <x:v>48</x:v>
      </x:c>
      <x:c r="C87" s="14" t="str">
        <x:v>Security Test Agent</x:v>
      </x:c>
      <x:c r="D87" s="14" t="str">
        <x:v>F17 Checkpoint + Rollback | F22 Device Nodes | F23 Secret &amp; Credential Broker</x:v>
      </x:c>
      <x:c r="E87" s="14" t="str">
        <x:v>Superfície sensível ou release.</x:v>
      </x:c>
      <x:c r="F87" s="14" t="str">
        <x:v>Threat model e build.</x:v>
      </x:c>
      <x:c r="G87" s="14" t="str">
        <x:v>Executar security tests e registrar exploit/repro.</x:v>
      </x:c>
      <x:c r="H87" s="14" t="str">
        <x:v>Security evidence.</x:v>
      </x:c>
      <x:c r="I87" s="14" t="str">
        <x:v>Thompson/QA3.</x:v>
      </x:c>
      <x:c r="J87" s="14" t="str">
        <x:v>agent.security.test.agent.started / .completed / .failed + evidence.ledger.recorded</x:v>
      </x:c>
      <x:c r="K87" s="14" t="str">
        <x:v>Task UUIDv7 sob demanda; sem lease longa por padrão.</x:v>
      </x:c>
      <x:c r="L87" s="14" t="str">
        <x:v>Checkpoint antes de side effect relevante; hash/manifest; rollback/recovery proof obrigatório quando aplicável.</x:v>
      </x:c>
      <x:c r="M87" s="14" t="str">
        <x:v>Obrigatória para publicação externa, gasto, privilege elevation, ação destrutiva ou exceção constitucional.</x:v>
      </x:c>
      <x:c r="N87" s="14" t="str">
        <x:v>Fail-closed; retry bounded; side effect não é repetido sem idempotency key; incident/evidence on failure.</x:v>
      </x:c>
    </x:row>
    <x:row r="88" ht="64" customHeight="1">
      <x:c r="A88" s="14" t="str">
        <x:v>01a0e473-f631-7976-acb2-61b914cf23ae</x:v>
      </x:c>
      <x:c r="B88" s="14" t="n">
        <x:v>49</x:v>
      </x:c>
      <x:c r="C88" s="14" t="str">
        <x:v>Objective Proof Agent – OPA</x:v>
      </x:c>
      <x:c r="D88" s="14" t="str">
        <x:v>F15 Skill Runtime + Memory/Context Engine | F25 Knowledge / Evidence Graph</x:v>
      </x:c>
      <x:c r="E88" s="14" t="str">
        <x:v>Após QA2 e antes de QA3.</x:v>
      </x:c>
      <x:c r="F88" s="14" t="str">
        <x:v>Requirement original e build candidato.</x:v>
      </x:c>
      <x:c r="G88" s="14" t="str">
        <x:v>Executar Objective Proof e classificar PROVEN/FAILED.</x:v>
      </x:c>
      <x:c r="H88" s="14" t="str">
        <x:v>Objective Proof Report reproduzível.</x:v>
      </x:c>
      <x:c r="I88" s="14" t="str">
        <x:v>QA3.</x:v>
      </x:c>
      <x:c r="J88" s="14" t="str">
        <x:v>agent.objective.proof.agent.opa.started / .completed / .failed + evidence.ledger.recorded</x:v>
      </x:c>
      <x:c r="K88" s="14" t="str">
        <x:v>Task UUIDv7 sob demanda; sem lease longa por padrão.</x:v>
      </x:c>
      <x:c r="L88" s="14" t="str">
        <x:v>Checkpoint antes de side effect relevante; hash/manifest; rollback/recovery proof obrigatório quando aplicável.</x:v>
      </x:c>
      <x:c r="M88" s="14" t="str">
        <x:v>Obrigatória para publicação externa, gasto, privilege elevation, ação destrutiva ou exceção constitucional.</x:v>
      </x:c>
      <x:c r="N88" s="14" t="str">
        <x:v>Fail-closed; retry bounded; side effect não é repetido sem idempotency key; incident/evidence on failure.</x:v>
      </x:c>
    </x:row>
    <x:row r="89" ht="64" customHeight="1">
      <x:c r="A89" s="14" t="str">
        <x:v>01a0e473-f632-7358-9a30-45db2f4f7710</x:v>
      </x:c>
      <x:c r="B89" s="14" t="n">
        <x:v>50</x:v>
      </x:c>
      <x:c r="C89" s="14" t="str">
        <x:v>QA Nível 1</x:v>
      </x:c>
      <x:c r="D89" s="14" t="str">
        <x:v>F15 Skill Runtime + Memory/Context Engine | F20 Team Runtime | F25 Knowledge / Evidence Graph</x:v>
      </x:c>
      <x:c r="E89" s="14" t="str">
        <x:v>Patch pronto.</x:v>
      </x:c>
      <x:c r="F89" s="14" t="str">
        <x:v>Patch + unit evidence.</x:v>
      </x:c>
      <x:c r="G89" s="14" t="str">
        <x:v>Aprovar/rejeitar implementação local.</x:v>
      </x:c>
      <x:c r="H89" s="14" t="str">
        <x:v>QA1 PASS/FAIL.</x:v>
      </x:c>
      <x:c r="I89" s="14" t="str">
        <x:v>QA2.</x:v>
      </x:c>
      <x:c r="J89" s="14" t="str">
        <x:v>agent.qa.nivel.1.started / .completed / .failed + evidence.ledger.recorded</x:v>
      </x:c>
      <x:c r="K89" s="14" t="str">
        <x:v>Task UUIDv7 sob demanda; sem lease longa por padrão.</x:v>
      </x:c>
      <x:c r="L89" s="14" t="str">
        <x:v>Checkpoint quando houver write persistente; leitura pura dispensa snapshot.</x:v>
      </x:c>
      <x:c r="M89" s="14" t="str">
        <x:v>Obrigatória para publicação externa, gasto, privilege elevation, ação destrutiva ou exceção constitucional.</x:v>
      </x:c>
      <x:c r="N89" s="14" t="str">
        <x:v>Retry bounded; registrar causa, correlação UUIDv7 e Evidence Ledger.</x:v>
      </x:c>
    </x:row>
    <x:row r="90" ht="64" customHeight="1">
      <x:c r="A90" s="14" t="str">
        <x:v>01a0e473-f633-7bb9-b8ee-90a4d9a45a4d</x:v>
      </x:c>
      <x:c r="B90" s="14" t="n">
        <x:v>51</x:v>
      </x:c>
      <x:c r="C90" s="14" t="str">
        <x:v>QA Nível 2</x:v>
      </x:c>
      <x:c r="D90" s="14" t="str">
        <x:v>F18 MCP + LSP Runtime | F19 Repo Intelligence / Tree-sitter | F20 Team Runtime | F25 Knowledge / Evidence Graph</x:v>
      </x:c>
      <x:c r="E90" s="14" t="str">
        <x:v>QA1 PASS.</x:v>
      </x:c>
      <x:c r="F90" s="14" t="str">
        <x:v>Evidências cross-system.</x:v>
      </x:c>
      <x:c r="G90" s="14" t="str">
        <x:v>Aprovar/rejeitar integração.</x:v>
      </x:c>
      <x:c r="H90" s="14" t="str">
        <x:v>QA2 PASS/FAIL.</x:v>
      </x:c>
      <x:c r="I90" s="14" t="str">
        <x:v>OPA.</x:v>
      </x:c>
      <x:c r="J90" s="14" t="str">
        <x:v>agent.qa.nivel.2.started / .completed / .failed + evidence.ledger.recorded</x:v>
      </x:c>
      <x:c r="K90" s="14" t="str">
        <x:v>Task UUIDv7 sob demanda; sem lease longa por padrão.</x:v>
      </x:c>
      <x:c r="L90" s="14" t="str">
        <x:v>Checkpoint antes de side effect relevante; hash/manifest; rollback/recovery proof obrigatório quando aplicável.</x:v>
      </x:c>
      <x:c r="M90" s="14" t="str">
        <x:v>Obrigatória para publicação externa, gasto, privilege elevation, ação destrutiva ou exceção constitucional.</x:v>
      </x:c>
      <x:c r="N90" s="14" t="str">
        <x:v>Fail-closed; retry bounded; side effect não é repetido sem idempotency key; incident/evidence on failure.</x:v>
      </x:c>
    </x:row>
    <x:row r="91" ht="64" customHeight="1">
      <x:c r="A91" s="14" t="str">
        <x:v>01a0e473-f634-742e-a532-1321918650db</x:v>
      </x:c>
      <x:c r="B91" s="14" t="n">
        <x:v>52</x:v>
      </x:c>
      <x:c r="C91" s="14" t="str">
        <x:v>QA Nível 3</x:v>
      </x:c>
      <x:c r="D91" s="14" t="str">
        <x:v>F15 Skill Runtime + Memory/Context Engine | F17 Checkpoint + Rollback | F19 Repo Intelligence / Tree-sitter | F20 Team Runtime | F22 Device Nodes | F23 Secret &amp; Credential Broker | F25 Knowledge / Evidence Graph</x:v>
      </x:c>
      <x:c r="E91" s="14" t="str">
        <x:v>Release candidate.</x:v>
      </x:c>
      <x:c r="F91" s="14" t="str">
        <x:v>Pacote completo de evidências.</x:v>
      </x:c>
      <x:c r="G91" s="14" t="str">
        <x:v>APPROVE, REJECT ou CONDITIONAL.</x:v>
      </x:c>
      <x:c r="H91" s="14" t="str">
        <x:v>Gate final documentado.</x:v>
      </x:c>
      <x:c r="I91" s="14" t="str">
        <x:v>Versionador/Release Manager ou retorno.</x:v>
      </x:c>
      <x:c r="J91" s="14" t="str">
        <x:v>agent.qa.nivel.3.started / .completed / .failed + evidence.ledger.recorded</x:v>
      </x:c>
      <x:c r="K91" s="14" t="str">
        <x:v>Task UUIDv7 sob demanda; sem lease longa por padrão.</x:v>
      </x:c>
      <x:c r="L91" s="14" t="str">
        <x:v>Checkpoint antes de side effect relevante; hash/manifest; rollback/recovery proof obrigatório quando aplicável.</x:v>
      </x:c>
      <x:c r="M91" s="14" t="str">
        <x:v>Obrigatória para publicação externa, gasto, privilege elevation, ação destrutiva ou exceção constitucional.</x:v>
      </x:c>
      <x:c r="N91" s="14" t="str">
        <x:v>Fail-closed; retry bounded; side effect não é repetido sem idempotency key; incident/evidence on failure.</x:v>
      </x:c>
    </x:row>
    <x:row r="92" ht="64" customHeight="1">
      <x:c r="A92" s="14" t="str">
        <x:v>01a0e473-f635-7fb8-a692-79562cbd4ff6</x:v>
      </x:c>
      <x:c r="B92" s="14" t="n">
        <x:v>53</x:v>
      </x:c>
      <x:c r="C92" s="14" t="str">
        <x:v>Guardian</x:v>
      </x:c>
      <x:c r="D92" s="14" t="str">
        <x:v>F19 Repo Intelligence / Tree-sitter | F20 Team Runtime | F22 Device Nodes | F23 Secret &amp; Credential Broker</x:v>
      </x:c>
      <x:c r="E92" s="14" t="str">
        <x:v>Toda mudança estrutural.</x:v>
      </x:c>
      <x:c r="F92" s="14" t="str">
        <x:v>Diff + rules.</x:v>
      </x:c>
      <x:c r="G92" s="14" t="str">
        <x:v>Bloquear merge, exigir RFC, registrar architecture drift.</x:v>
      </x:c>
      <x:c r="H92" s="14" t="str">
        <x:v>Architecture Gate.</x:v>
      </x:c>
      <x:c r="I92" s="14" t="str">
        <x:v>Arquiteto/PO/QA3.</x:v>
      </x:c>
      <x:c r="J92" s="14" t="str">
        <x:v>agent.guardian.started / .completed / .failed + evidence.ledger.recorded</x:v>
      </x:c>
      <x:c r="K92" s="14" t="str">
        <x:v>Service loop com heartbeat; tasks idempotentes; estado persistente.</x:v>
      </x:c>
      <x:c r="L92" s="14" t="str">
        <x:v>Checkpoint antes de side effect relevante; hash/manifest; rollback/recovery proof obrigatório quando aplicável.</x:v>
      </x:c>
      <x:c r="M92" s="14" t="str">
        <x:v>Obrigatória para publicação externa, gasto, privilege elevation, ação destrutiva ou exceção constitucional.</x:v>
      </x:c>
      <x:c r="N92" s="14" t="str">
        <x:v>Fail-closed; retry bounded; side effect não é repetido sem idempotency key; incident/evidence on failure.</x:v>
      </x:c>
    </x:row>
    <x:row r="93" ht="64" customHeight="1">
      <x:c r="A93" s="14" t="str">
        <x:v>01a0e473-f636-71b9-8133-865389aee00d</x:v>
      </x:c>
      <x:c r="B93" s="14" t="n">
        <x:v>54</x:v>
      </x:c>
      <x:c r="C93" s="14" t="str">
        <x:v>Goal Drift Detector</x:v>
      </x:c>
      <x:c r="D93" s="14" t="str">
        <x:v>F15 Skill Runtime + Memory/Context Engine | F20 Team Runtime | F22 Device Nodes</x:v>
      </x:c>
      <x:c r="E93" s="14" t="str">
        <x:v>Sprint/release review ou projeto longo.</x:v>
      </x:c>
      <x:c r="F93" s="14" t="str">
        <x:v>Objetivos versionados e estado atual.</x:v>
      </x:c>
      <x:c r="G93" s="14" t="str">
        <x:v>Gerar drift score e abrir gaps.</x:v>
      </x:c>
      <x:c r="H93" s="14" t="str">
        <x:v>Goal Drift Report.</x:v>
      </x:c>
      <x:c r="I93" s="14" t="str">
        <x:v>Morpheus/Analista/QA3.</x:v>
      </x:c>
      <x:c r="J93" s="14" t="str">
        <x:v>agent.goal.drift.detector.started / .completed / .failed + evidence.ledger.recorded</x:v>
      </x:c>
      <x:c r="K93" s="14" t="str">
        <x:v>Service loop com heartbeat; tasks idempotentes; estado persistente.</x:v>
      </x:c>
      <x:c r="L93" s="14" t="str">
        <x:v>Checkpoint quando houver write persistente; leitura pura dispensa snapshot.</x:v>
      </x:c>
      <x:c r="M93" s="14" t="str">
        <x:v>Por policy; leitura/análise não exige aprovação. Escritas sensíveis escalam.</x:v>
      </x:c>
      <x:c r="N93" s="14" t="str">
        <x:v>Retry bounded; registrar causa, correlação UUIDv7 e Evidence Ledger.</x:v>
      </x:c>
    </x:row>
    <x:row r="94" ht="64" customHeight="1">
      <x:c r="A94" s="14" t="str">
        <x:v>01a0e473-f637-7194-be89-ecefe3390927</x:v>
      </x:c>
      <x:c r="B94" s="14" t="n">
        <x:v>55</x:v>
      </x:c>
      <x:c r="C94" s="14" t="str">
        <x:v>Versionador</x:v>
      </x:c>
      <x:c r="D94" s="14" t="str">
        <x:v>F15 Skill Runtime + Memory/Context Engine | F17 Checkpoint + Rollback | F18 MCP + LSP Runtime | F19 Repo Intelligence / Tree-sitter | F22 Device Nodes</x:v>
      </x:c>
      <x:c r="E94" s="14" t="str">
        <x:v>Entrega aprovada ou mudança de contrato.</x:v>
      </x:c>
      <x:c r="F94" s="14" t="str">
        <x:v>QA3 PASS e release metadata.</x:v>
      </x:c>
      <x:c r="G94" s="14" t="str">
        <x:v>Propor/atribuir versão, criar tag candidate, atualizar matrix.</x:v>
      </x:c>
      <x:c r="H94" s="14" t="str">
        <x:v>Versão rastreável e changelog.</x:v>
      </x:c>
      <x:c r="I94" s="14" t="str">
        <x:v>Release Manager.</x:v>
      </x:c>
      <x:c r="J94" s="14" t="str">
        <x:v>agent.versionador.started / .completed / .failed + evidence.ledger.recorded</x:v>
      </x:c>
      <x:c r="K94" s="14" t="str">
        <x:v>Task UUIDv7 sob demanda; sem lease longa por padrão.</x:v>
      </x:c>
      <x:c r="L94" s="14" t="str">
        <x:v>Checkpoint antes de side effect relevante; hash/manifest; rollback/recovery proof obrigatório quando aplicável.</x:v>
      </x:c>
      <x:c r="M94" s="14" t="str">
        <x:v>Por policy; leitura/análise não exige aprovação. Escritas sensíveis escalam.</x:v>
      </x:c>
      <x:c r="N94" s="14" t="str">
        <x:v>Retry bounded; registrar causa, correlação UUIDv7 e Evidence Ledger.</x:v>
      </x:c>
    </x:row>
    <x:row r="95" ht="64" customHeight="1">
      <x:c r="A95" s="14" t="str">
        <x:v>01a0e473-f638-7c91-8f60-c7841a86639f</x:v>
      </x:c>
      <x:c r="B95" s="14" t="n">
        <x:v>56</x:v>
      </x:c>
      <x:c r="C95" s="14" t="str">
        <x:v>Release Manager</x:v>
      </x:c>
      <x:c r="D95" s="14" t="str">
        <x:v>F17 Checkpoint + Rollback | F19 Repo Intelligence / Tree-sitter | F22 Device Nodes</x:v>
      </x:c>
      <x:c r="E95" s="14" t="str">
        <x:v>RC aprovado.</x:v>
      </x:c>
      <x:c r="F95" s="14" t="str">
        <x:v>Release package e plano de rollback.</x:v>
      </x:c>
      <x:c r="G95" s="14" t="str">
        <x:v>Promover, pausar, rollback release.</x:v>
      </x:c>
      <x:c r="H95" s="14" t="str">
        <x:v>Release oficial + audit trail.</x:v>
      </x:c>
      <x:c r="I95" s="14" t="str">
        <x:v>Observability/Operations.</x:v>
      </x:c>
      <x:c r="J95" s="14" t="str">
        <x:v>agent.release.manager.started / .completed / .failed + evidence.ledger.recorded</x:v>
      </x:c>
      <x:c r="K95" s="14" t="str">
        <x:v>Task UUIDv7 sob demanda; sem lease longa por padrão.</x:v>
      </x:c>
      <x:c r="L95" s="14" t="str">
        <x:v>Checkpoint antes de side effect relevante; hash/manifest; rollback/recovery proof obrigatório quando aplicável.</x:v>
      </x:c>
      <x:c r="M95" s="14" t="str">
        <x:v>Obrigatória para publicação externa, gasto, privilege elevation, ação destrutiva ou exceção constitucional.</x:v>
      </x:c>
      <x:c r="N95" s="14" t="str">
        <x:v>Fail-closed; retry bounded; side effect não é repetido sem idempotency key; incident/evidence on failure.</x:v>
      </x:c>
    </x:row>
    <x:row r="96" ht="64" customHeight="1">
      <x:c r="A96" s="14" t="str">
        <x:v>01a0e473-f639-7ee3-b4bd-658857368ae7</x:v>
      </x:c>
      <x:c r="B96" s="14" t="n">
        <x:v>57</x:v>
      </x:c>
      <x:c r="C96" s="14" t="str">
        <x:v>Reproducible Build Agent</x:v>
      </x:c>
      <x:c r="D96" s="14" t="str">
        <x:v>F17 Checkpoint + Rollback | F18 MCP + LSP Runtime | F22 Device Nodes</x:v>
      </x:c>
      <x:c r="E96" s="14" t="str">
        <x:v>Release candidate e auditoria.</x:v>
      </x:c>
      <x:c r="F96" s="14" t="str">
        <x:v>Source snapshot e build manifest.</x:v>
      </x:c>
      <x:c r="G96" s="14" t="str">
        <x:v>Rebuild limpo, comparar artifacts e emitir proof.</x:v>
      </x:c>
      <x:c r="H96" s="14" t="str">
        <x:v>Reproducibility Evidence.</x:v>
      </x:c>
      <x:c r="I96" s="14" t="str">
        <x:v>QA3/Release.</x:v>
      </x:c>
      <x:c r="J96" s="14" t="str">
        <x:v>agent.reproducible.build.agent.started / .completed / .failed + evidence.ledger.recorded</x:v>
      </x:c>
      <x:c r="K96" s="14" t="str">
        <x:v>Task UUIDv7 sob demanda; sem lease longa por padrão.</x:v>
      </x:c>
      <x:c r="L96" s="14" t="str">
        <x:v>Checkpoint antes de side effect relevante; hash/manifest; rollback/recovery proof obrigatório quando aplicável.</x:v>
      </x:c>
      <x:c r="M96" s="14" t="str">
        <x:v>Por policy; leitura/análise não exige aprovação. Escritas sensíveis escalam.</x:v>
      </x:c>
      <x:c r="N96" s="14" t="str">
        <x:v>Retry bounded; registrar causa, correlação UUIDv7 e Evidence Ledger.</x:v>
      </x:c>
    </x:row>
    <x:row r="97" ht="64" customHeight="1">
      <x:c r="A97" s="14" t="str">
        <x:v>01a0e473-f63a-729d-91a1-22d4866232f0</x:v>
      </x:c>
      <x:c r="B97" s="14" t="n">
        <x:v>58</x:v>
      </x:c>
      <x:c r="C97" s="14" t="str">
        <x:v>Backup Agent</x:v>
      </x:c>
      <x:c r="D97" s="14" t="str">
        <x:v>F17 Checkpoint + Rollback | F22 Device Nodes</x:v>
      </x:c>
      <x:c r="E97" s="14" t="str">
        <x:v>Agenda ou antes de upgrade/release crítica.</x:v>
      </x:c>
      <x:c r="F97" s="14" t="str">
        <x:v>Inventário de dados.</x:v>
      </x:c>
      <x:c r="G97" s="14" t="str">
        <x:v>Criar/validar backup e registrar manifest.</x:v>
      </x:c>
      <x:c r="H97" s="14" t="str">
        <x:v>Backup Manifest verificado.</x:v>
      </x:c>
      <x:c r="I97" s="14" t="str">
        <x:v>Restore Agent.</x:v>
      </x:c>
      <x:c r="J97" s="14" t="str">
        <x:v>agent.backup.agent.started / .completed / .failed + evidence.ledger.recorded</x:v>
      </x:c>
      <x:c r="K97" s="14" t="str">
        <x:v>Service loop com heartbeat; tasks idempotentes; estado persistente.</x:v>
      </x:c>
      <x:c r="L97" s="14" t="str">
        <x:v>Checkpoint antes de side effect relevante; hash/manifest; rollback/recovery proof obrigatório quando aplicável.</x:v>
      </x:c>
      <x:c r="M97" s="14" t="str">
        <x:v>Obrigatória para publicação externa, gasto, privilege elevation, ação destrutiva ou exceção constitucional.</x:v>
      </x:c>
      <x:c r="N97" s="14" t="str">
        <x:v>Fail-closed; retry bounded; side effect não é repetido sem idempotency key; incident/evidence on failure.</x:v>
      </x:c>
    </x:row>
    <x:row r="98" ht="64" customHeight="1">
      <x:c r="A98" s="14" t="str">
        <x:v>01a0e473-f63b-7cad-b290-bec9166341e8</x:v>
      </x:c>
      <x:c r="B98" s="14" t="n">
        <x:v>59</x:v>
      </x:c>
      <x:c r="C98" s="14" t="str">
        <x:v>Restore Agent</x:v>
      </x:c>
      <x:c r="D98" s="14" t="str">
        <x:v>F17 Checkpoint + Rollback | F19 Repo Intelligence / Tree-sitter | F22 Device Nodes</x:v>
      </x:c>
      <x:c r="E98" s="14" t="str">
        <x:v>Após backup selecionado ou incidente.</x:v>
      </x:c>
      <x:c r="F98" s="14" t="str">
        <x:v>Backup válido e ambiente limpo.</x:v>
      </x:c>
      <x:c r="G98" s="14" t="str">
        <x:v>Restore drill, validar e produzir proof.</x:v>
      </x:c>
      <x:c r="H98" s="14" t="str">
        <x:v>Restore Proof.</x:v>
      </x:c>
      <x:c r="I98" s="14" t="str">
        <x:v>QA3/Niobe.</x:v>
      </x:c>
      <x:c r="J98" s="14" t="str">
        <x:v>agent.restore.agent.started / .completed / .failed + evidence.ledger.recorded</x:v>
      </x:c>
      <x:c r="K98" s="14" t="str">
        <x:v>Task UUIDv7 sob demanda; sem lease longa por padrão.</x:v>
      </x:c>
      <x:c r="L98" s="14" t="str">
        <x:v>Checkpoint antes de side effect relevante; hash/manifest; rollback/recovery proof obrigatório quando aplicável.</x:v>
      </x:c>
      <x:c r="M98" s="14" t="str">
        <x:v>Obrigatória para publicação externa, gasto, privilege elevation, ação destrutiva ou exceção constitucional.</x:v>
      </x:c>
      <x:c r="N98" s="14" t="str">
        <x:v>Fail-closed; retry bounded; side effect não é repetido sem idempotency key; incident/evidence on failure.</x:v>
      </x:c>
    </x:row>
    <x:row r="99" ht="64" customHeight="1">
      <x:c r="A99" s="14" t="str">
        <x:v>01a0e473-f63c-7f03-831f-1c952dfae36c</x:v>
      </x:c>
      <x:c r="B99" s="14" t="n">
        <x:v>60</x:v>
      </x:c>
      <x:c r="C99" s="14" t="str">
        <x:v>SRE/Operations Agent</x:v>
      </x:c>
      <x:c r="D99" s="14" t="str">
        <x:v>F16 Scheduler + Background Jobs | F22 Device Nodes</x:v>
      </x:c>
      <x:c r="E99" s="14" t="str">
        <x:v>Degradação, alertas ou planejamento de capacidade.</x:v>
      </x:c>
      <x:c r="F99" s="14" t="str">
        <x:v>Telemetry e topology.</x:v>
      </x:c>
      <x:c r="G99" s="14" t="str">
        <x:v>Diagnosticar, ajustar capacidade, reiniciar com política, criar runbook.</x:v>
      </x:c>
      <x:c r="H99" s="14" t="str">
        <x:v>Operations report e ações seguras.</x:v>
      </x:c>
      <x:c r="I99" s="14" t="str">
        <x:v>Niobe/Dozer/QA.</x:v>
      </x:c>
      <x:c r="J99" s="14" t="str">
        <x:v>agent.sre.operations.agent.started / .completed / .failed + evidence.ledger.recorded</x:v>
      </x:c>
      <x:c r="K99" s="14" t="str">
        <x:v>Job UUIDv7; lease + heartbeat + fencing_token + resume_token; estado PostgreSQL.</x:v>
      </x:c>
      <x:c r="L99" s="14" t="str">
        <x:v>Checkpoint quando houver write persistente; leitura pura dispensa snapshot.</x:v>
      </x:c>
      <x:c r="M99" s="14" t="str">
        <x:v>Por policy; leitura/análise não exige aprovação. Escritas sensíveis escalam.</x:v>
      </x:c>
      <x:c r="N99" s="14" t="str">
        <x:v>Idempotência; retry exponencial com limite; DLQ; correlation UUIDv7; logs+metrics+traces+evidence.</x:v>
      </x:c>
    </x:row>
    <x:row r="100" ht="64" customHeight="1">
      <x:c r="A100" s="14" t="str">
        <x:v>01a0e473-f63d-777f-8139-a6985d95cae5</x:v>
      </x:c>
      <x:c r="B100" s="14" t="n">
        <x:v>61</x:v>
      </x:c>
      <x:c r="C100" s="14" t="str">
        <x:v>Sandbox Manager</x:v>
      </x:c>
      <x:c r="D100" s="14" t="str">
        <x:v>F15 Skill Runtime + Memory/Context Engine | F17 Checkpoint + Rollback | F22 Device Nodes</x:v>
      </x:c>
      <x:c r="E100" s="14" t="str">
        <x:v>Toda execução de agente com efeitos ou experimento.</x:v>
      </x:c>
      <x:c r="F100" s="14" t="str">
        <x:v>Task + capability policy.</x:v>
      </x:c>
      <x:c r="G100" s="14" t="str">
        <x:v>Criar/destruir sandbox, aplicar quotas e registrar ambiente.</x:v>
      </x:c>
      <x:c r="H100" s="14" t="str">
        <x:v>Sandbox ID/logs.</x:v>
      </x:c>
      <x:c r="I100" s="14" t="str">
        <x:v>Agent / Evidence.</x:v>
      </x:c>
      <x:c r="J100" s="14" t="str">
        <x:v>agent.sandbox.manager.started / .completed / .failed + evidence.ledger.recorded</x:v>
      </x:c>
      <x:c r="K100" s="14" t="str">
        <x:v>Service loop com heartbeat; tasks idempotentes; estado persistente.</x:v>
      </x:c>
      <x:c r="L100" s="14" t="str">
        <x:v>Checkpoint antes de side effect relevante; hash/manifest; rollback/recovery proof obrigatório quando aplicável.</x:v>
      </x:c>
      <x:c r="M100" s="14" t="str">
        <x:v>Obrigatória para publicação externa, gasto, privilege elevation, ação destrutiva ou exceção constitucional.</x:v>
      </x:c>
      <x:c r="N100" s="14" t="str">
        <x:v>Fail-closed; retry bounded; side effect não é repetido sem idempotency key; incident/evidence on failure.</x:v>
      </x:c>
    </x:row>
    <x:row r="101" ht="64" customHeight="1">
      <x:c r="A101" s="14" t="str">
        <x:v>01a0e473-f63e-7112-b100-cfcf4b49c51c</x:v>
      </x:c>
      <x:c r="B101" s="14" t="n">
        <x:v>62</x:v>
      </x:c>
      <x:c r="C101" s="14" t="str">
        <x:v>Tool/MCP Manager</x:v>
      </x:c>
      <x:c r="D101" s="14" t="str">
        <x:v>F15 Skill Runtime + Memory/Context Engine | F18 MCP + LSP Runtime | F22 Device Nodes | F23 Secret &amp; Credential Broker</x:v>
      </x:c>
      <x:c r="E101" s="14" t="str">
        <x:v>Nova ferramenta/MCP ou update.</x:v>
      </x:c>
      <x:c r="F101" s="14" t="str">
        <x:v>Manifest, license, capabilities.</x:v>
      </x:c>
      <x:c r="G101" s="14" t="str">
        <x:v>Registrar, habilitar, desabilitar e atualizar ferramentas.</x:v>
      </x:c>
      <x:c r="H101" s="14" t="str">
        <x:v>Approved Tool Registry.</x:v>
      </x:c>
      <x:c r="I101" s="14" t="str">
        <x:v>Seraph/Thompson/Link.</x:v>
      </x:c>
      <x:c r="J101" s="14" t="str">
        <x:v>agent.tool.mcp.manager.started / .completed / .failed + evidence.ledger.recorded</x:v>
      </x:c>
      <x:c r="K101" s="14" t="str">
        <x:v>Service loop com heartbeat; tasks idempotentes; estado persistente.</x:v>
      </x:c>
      <x:c r="L101" s="14" t="str">
        <x:v>Checkpoint quando houver write persistente; leitura pura dispensa snapshot.</x:v>
      </x:c>
      <x:c r="M101" s="14" t="str">
        <x:v>Por policy; leitura/análise não exige aprovação. Escritas sensíveis escalam.</x:v>
      </x:c>
      <x:c r="N101" s="14" t="str">
        <x:v>Retry bounded; registrar causa, correlação UUIDv7 e Evidence Ledger.</x:v>
      </x:c>
    </x:row>
    <x:row r="102" ht="64" customHeight="1">
      <x:c r="A102" s="14" t="str">
        <x:v>01a0e473-f63f-781b-a066-be7496e4cd16</x:v>
      </x:c>
      <x:c r="B102" s="14" t="n">
        <x:v>63</x:v>
      </x:c>
      <x:c r="C102" s="14" t="str">
        <x:v>Secrets Manager</x:v>
      </x:c>
      <x:c r="D102" s="14" t="str">
        <x:v>F23 Secret &amp; Credential Broker</x:v>
      </x:c>
      <x:c r="E102" s="14" t="str">
        <x:v>Tool precisa autenticar externamente.</x:v>
      </x:c>
      <x:c r="F102" s="14" t="str">
        <x:v>Capability grant e policy.</x:v>
      </x:c>
      <x:c r="G102" s="14" t="str">
        <x:v>Emitir/revogar credencial temporária e registrar uso.</x:v>
      </x:c>
      <x:c r="H102" s="14" t="str">
        <x:v>Lease/audit record.</x:v>
      </x:c>
      <x:c r="I102" s="14" t="str">
        <x:v>Seraph/Tool Gateway.</x:v>
      </x:c>
      <x:c r="J102" s="14" t="str">
        <x:v>agent.secrets.manager.started / .completed / .failed + evidence.ledger.recorded</x:v>
      </x:c>
      <x:c r="K102" s="14" t="str">
        <x:v>Service loop com heartbeat; tasks idempotentes; estado persistente.</x:v>
      </x:c>
      <x:c r="L102" s="14" t="str">
        <x:v>Checkpoint antes de side effect relevante; hash/manifest; rollback/recovery proof obrigatório quando aplicável.</x:v>
      </x:c>
      <x:c r="M102" s="14" t="str">
        <x:v>Obrigatória para publicação externa, gasto, privilege elevation, ação destrutiva ou exceção constitucional.</x:v>
      </x:c>
      <x:c r="N102" s="14" t="str">
        <x:v>Fail-closed; retry bounded; side effect não é repetido sem idempotency key; incident/evidence on failure.</x:v>
      </x:c>
    </x:row>
    <x:row r="103" ht="64" customHeight="1">
      <x:c r="A103" s="14" t="str">
        <x:v>01a0e473-f640-799d-9824-531aea38c20c</x:v>
      </x:c>
      <x:c r="B103" s="14" t="n">
        <x:v>64</x:v>
      </x:c>
      <x:c r="C103" s="14" t="str">
        <x:v>Context Compiler</x:v>
      </x:c>
      <x:c r="D103" s="14" t="str">
        <x:v>F15 Skill Runtime + Memory/Context Engine | F17 Checkpoint + Rollback | F18 MCP + LSP Runtime | F19 Repo Intelligence / Tree-sitter | F20 Team Runtime | F22 Device Nodes | F25 Knowledge / Evidence Graph</x:v>
      </x:c>
      <x:c r="E103" s="14" t="str">
        <x:v>Antes de qualquer execução LLM complexa.</x:v>
      </x:c>
      <x:c r="F103" s="14" t="str">
        <x:v>Task UUID e role policy.</x:v>
      </x:c>
      <x:c r="G103" s="14" t="str">
        <x:v>Construir Context Pack e medir relevância/tamanho.</x:v>
      </x:c>
      <x:c r="H103" s="14" t="str">
        <x:v>Context Pack versionado.</x:v>
      </x:c>
      <x:c r="I103" s="14" t="str">
        <x:v>Model Router/Agent.</x:v>
      </x:c>
      <x:c r="J103" s="14" t="str">
        <x:v>agent.context.compiler.started / .completed / .failed + evidence.ledger.recorded</x:v>
      </x:c>
      <x:c r="K103" s="14" t="str">
        <x:v>Service loop com heartbeat; tasks idempotentes; estado persistente.</x:v>
      </x:c>
      <x:c r="L103" s="14" t="str">
        <x:v>Checkpoint antes de side effect relevante; hash/manifest; rollback/recovery proof obrigatório quando aplicável.</x:v>
      </x:c>
      <x:c r="M103" s="14" t="str">
        <x:v>Obrigatória para publicação externa, gasto, privilege elevation, ação destrutiva ou exceção constitucional.</x:v>
      </x:c>
      <x:c r="N103" s="14" t="str">
        <x:v>Fail-closed; retry bounded; side effect não é repetido sem idempotency key; incident/evidence on failure.</x:v>
      </x:c>
    </x:row>
    <x:row r="104" ht="64" customHeight="1">
      <x:c r="A104" s="14" t="str">
        <x:v>01a0e473-f641-7b34-b9e3-ecbd4d238e17</x:v>
      </x:c>
      <x:c r="B104" s="14" t="n">
        <x:v>65</x:v>
      </x:c>
      <x:c r="C104" s="14" t="str">
        <x:v>Knowledge Graph Agent</x:v>
      </x:c>
      <x:c r="D104" s="14" t="str">
        <x:v>F15 Skill Runtime + Memory/Context Engine | F17 Checkpoint + Rollback | F18 MCP + LSP Runtime | F19 Repo Intelligence / Tree-sitter | F20 Team Runtime | F24 Auto-learning + Skill Evolution | F25 Knowledge / Evidence Graph</x:v>
      </x:c>
      <x:c r="E104" s="14" t="str">
        <x:v>Novo conhecimento relevante ou alteração estrutural.</x:v>
      </x:c>
      <x:c r="F104" s="14" t="str">
        <x:v>Artifacts e metadata.</x:v>
      </x:c>
      <x:c r="G104" s="14" t="str">
        <x:v>Adicionar/atualizar relações e responder consultas estruturais.</x:v>
      </x:c>
      <x:c r="H104" s="14" t="str">
        <x:v>Knowledge Graph atualizado.</x:v>
      </x:c>
      <x:c r="I104" s="14" t="str">
        <x:v>Context Compiler/Research.</x:v>
      </x:c>
      <x:c r="J104" s="14" t="str">
        <x:v>agent.knowledge.graph.agent.started / .completed / .failed + evidence.ledger.recorded</x:v>
      </x:c>
      <x:c r="K104" s="14" t="str">
        <x:v>Service loop com heartbeat; tasks idempotentes; estado persistente.</x:v>
      </x:c>
      <x:c r="L104" s="14" t="str">
        <x:v>Checkpoint antes de side effect relevante; hash/manifest; rollback/recovery proof obrigatório quando aplicável.</x:v>
      </x:c>
      <x:c r="M104" s="14" t="str">
        <x:v>Por policy; leitura/análise não exige aprovação. Escritas sensíveis escalam.</x:v>
      </x:c>
      <x:c r="N104" s="14" t="str">
        <x:v>Retry bounded; registrar causa, correlação UUIDv7 e Evidence Ledger.</x:v>
      </x:c>
    </x:row>
    <x:row r="105" ht="64" customHeight="1">
      <x:c r="A105" s="14" t="str">
        <x:v>01a0e473-f642-7a0b-9faa-0d9572211b9f</x:v>
      </x:c>
      <x:c r="B105" s="14" t="n">
        <x:v>66</x:v>
      </x:c>
      <x:c r="C105" s="14" t="str">
        <x:v>Evidence Graph Agent</x:v>
      </x:c>
      <x:c r="D105" s="14" t="str">
        <x:v>F15 Skill Runtime + Memory/Context Engine | F17 Checkpoint + Rollback | F22 Device Nodes | F24 Auto-learning + Skill Evolution | F25 Knowledge / Evidence Graph</x:v>
      </x:c>
      <x:c r="E105" s="14" t="str">
        <x:v>Durante todo ciclo e especialmente QA3.</x:v>
      </x:c>
      <x:c r="F105" s="14" t="str">
        <x:v>Requisitos e evidências geradas.</x:v>
      </x:c>
      <x:c r="G105" s="14" t="str">
        <x:v>Criar links, validar completude e emitir missing evidence.</x:v>
      </x:c>
      <x:c r="H105" s="14" t="str">
        <x:v>Evidence Graph/completeness score.</x:v>
      </x:c>
      <x:c r="I105" s="14" t="str">
        <x:v>OPA/QA3.</x:v>
      </x:c>
      <x:c r="J105" s="14" t="str">
        <x:v>agent.evidence.graph.agent.started / .completed / .failed + evidence.ledger.recorded</x:v>
      </x:c>
      <x:c r="K105" s="14" t="str">
        <x:v>Service loop com heartbeat; tasks idempotentes; estado persistente.</x:v>
      </x:c>
      <x:c r="L105" s="14" t="str">
        <x:v>Checkpoint antes de side effect relevante; hash/manifest; rollback/recovery proof obrigatório quando aplicável.</x:v>
      </x:c>
      <x:c r="M105" s="14" t="str">
        <x:v>Obrigatória para publicação externa, gasto, privilege elevation, ação destrutiva ou exceção constitucional.</x:v>
      </x:c>
      <x:c r="N105" s="14" t="str">
        <x:v>Fail-closed; retry bounded; side effect não é repetido sem idempotency key; incident/evidence on failure.</x:v>
      </x:c>
    </x:row>
    <x:row r="106" ht="64" customHeight="1">
      <x:c r="A106" s="14" t="str">
        <x:v>01a0e473-f643-7271-9c16-dbafea8c5249</x:v>
      </x:c>
      <x:c r="B106" s="14" t="n">
        <x:v>67</x:v>
      </x:c>
      <x:c r="C106" s="14" t="str">
        <x:v>Artifact Manager</x:v>
      </x:c>
      <x:c r="D106" s="14" t="str">
        <x:v>F17 Checkpoint + Rollback | F22 Device Nodes | F25 Knowledge / Evidence Graph</x:v>
      </x:c>
      <x:c r="E106" s="14" t="str">
        <x:v>Build/test/release produz artefato.</x:v>
      </x:c>
      <x:c r="F106" s="14" t="str">
        <x:v>Artifact + metadata.</x:v>
      </x:c>
      <x:c r="G106" s="14" t="str">
        <x:v>Registrar, verificar, recuperar e expirar artifacts por política.</x:v>
      </x:c>
      <x:c r="H106" s="14" t="str">
        <x:v>Artifact Registry entry.</x:v>
      </x:c>
      <x:c r="I106" s="14" t="str">
        <x:v>Reproducible Build/Release.</x:v>
      </x:c>
      <x:c r="J106" s="14" t="str">
        <x:v>agent.artifact.manager.started / .completed / .failed + evidence.ledger.recorded</x:v>
      </x:c>
      <x:c r="K106" s="14" t="str">
        <x:v>Service loop com heartbeat; tasks idempotentes; estado persistente.</x:v>
      </x:c>
      <x:c r="L106" s="14" t="str">
        <x:v>Checkpoint antes de side effect relevante; hash/manifest; rollback/recovery proof obrigatório quando aplicável.</x:v>
      </x:c>
      <x:c r="M106" s="14" t="str">
        <x:v>Por policy; leitura/análise não exige aprovação. Escritas sensíveis escalam.</x:v>
      </x:c>
      <x:c r="N106" s="14" t="str">
        <x:v>Retry bounded; registrar causa, correlação UUIDv7 e Evidence Ledger.</x:v>
      </x:c>
    </x:row>
    <x:row r="107" ht="64" customHeight="1">
      <x:c r="A107" s="14" t="str">
        <x:v>01a0e473-f644-769d-8ae3-769c0fa16faf</x:v>
      </x:c>
      <x:c r="B107" s="14" t="n">
        <x:v>68</x:v>
      </x:c>
      <x:c r="C107" s="14" t="str">
        <x:v>Budget Manager</x:v>
      </x:c>
      <x:c r="D107" s="14" t="str">
        <x:v>F15 Skill Runtime + Memory/Context Engine | F16 Scheduler + Background Jobs | F20 Team Runtime</x:v>
      </x:c>
      <x:c r="E107" s="14" t="str">
        <x:v>Cada chamada de modelo pago e fechamento mensal.</x:v>
      </x:c>
      <x:c r="F107" s="14" t="str">
        <x:v>Budget policy e saldo.</x:v>
      </x:c>
      <x:c r="G107" s="14" t="str">
        <x:v>Bloquear/limitar chamadas pagas e emitir alertas.</x:v>
      </x:c>
      <x:c r="H107" s="14" t="str">
        <x:v>Cost ledger e budget gate.</x:v>
      </x:c>
      <x:c r="I107" s="14" t="str">
        <x:v>Model Router/PO.</x:v>
      </x:c>
      <x:c r="J107" s="14" t="str">
        <x:v>agent.budget.manager.started / .completed / .failed + evidence.ledger.recorded</x:v>
      </x:c>
      <x:c r="K107" s="14" t="str">
        <x:v>Job UUIDv7; lease + heartbeat + fencing_token + resume_token; estado PostgreSQL.</x:v>
      </x:c>
      <x:c r="L107" s="14" t="str">
        <x:v>Checkpoint antes de side effect relevante; hash/manifest; rollback/recovery proof obrigatório quando aplicável.</x:v>
      </x:c>
      <x:c r="M107" s="14" t="str">
        <x:v>Obrigatória para publicação externa, gasto, privilege elevation, ação destrutiva ou exceção constitucional.</x:v>
      </x:c>
      <x:c r="N107" s="14" t="str">
        <x:v>Idempotência; retry exponencial com limite; DLQ; correlation UUIDv7; logs+metrics+traces+evidence.</x:v>
      </x:c>
    </x:row>
    <x:row r="108" ht="64" customHeight="1">
      <x:c r="A108" s="14" t="str">
        <x:v>01a0e473-f645-7d82-8aff-cfaaa5ab5e3d</x:v>
      </x:c>
      <x:c r="B108" s="14" t="n">
        <x:v>69</x:v>
      </x:c>
      <x:c r="C108" s="14" t="str">
        <x:v>Model Router</x:v>
      </x:c>
      <x:c r="D108" s="14" t="str">
        <x:v>F15 Skill Runtime + Memory/Context Engine | F16 Scheduler + Background Jobs | F19 Repo Intelligence / Tree-sitter | F20 Team Runtime | F23 Secret &amp; Credential Broker</x:v>
      </x:c>
      <x:c r="E108" s="14" t="str">
        <x:v>Toda tarefa LLM.</x:v>
      </x:c>
      <x:c r="F108" s="14" t="str">
        <x:v>Task profile e Context Pack.</x:v>
      </x:c>
      <x:c r="G108" s="14" t="str">
        <x:v>Selecionar modelo, retry/escalar e registrar decisão.</x:v>
      </x:c>
      <x:c r="H108" s="14" t="str">
        <x:v>Model assignment + rationale.</x:v>
      </x:c>
      <x:c r="I108" s="14" t="str">
        <x:v>Agent runtime.</x:v>
      </x:c>
      <x:c r="J108" s="14" t="str">
        <x:v>agent.model.router.started / .completed / .failed + evidence.ledger.recorded</x:v>
      </x:c>
      <x:c r="K108" s="14" t="str">
        <x:v>Job UUIDv7; lease + heartbeat + fencing_token + resume_token; estado PostgreSQL.</x:v>
      </x:c>
      <x:c r="L108" s="14" t="str">
        <x:v>Checkpoint antes de side effect relevante; hash/manifest; rollback/recovery proof obrigatório quando aplicável.</x:v>
      </x:c>
      <x:c r="M108" s="14" t="str">
        <x:v>Obrigatória para publicação externa, gasto, privilege elevation, ação destrutiva ou exceção constitucional.</x:v>
      </x:c>
      <x:c r="N108" s="14" t="str">
        <x:v>Idempotência; retry exponencial com limite; DLQ; correlation UUIDv7; logs+metrics+traces+evidence.</x:v>
      </x:c>
    </x:row>
    <x:row r="109" ht="64" customHeight="1">
      <x:c r="A109" s="14" t="str">
        <x:v>01a0e473-f646-708d-8a03-c285edd8d91e</x:v>
      </x:c>
      <x:c r="B109" s="14" t="n">
        <x:v>70</x:v>
      </x:c>
      <x:c r="C109" s="14" t="str">
        <x:v>Model Evaluator</x:v>
      </x:c>
      <x:c r="D109" s="14" t="str">
        <x:v>F15 Skill Runtime + Memory/Context Engine | F20 Team Runtime | F24 Auto-learning + Skill Evolution | F25 Knowledge / Evidence Graph</x:v>
      </x:c>
      <x:c r="E109" s="14" t="str">
        <x:v>Nova versão/modelo ou periodicamente.</x:v>
      </x:c>
      <x:c r="F109" s="14" t="str">
        <x:v>Resultados reais de tarefas e evals.</x:v>
      </x:c>
      <x:c r="G109" s="14" t="str">
        <x:v>Rodar evals e atualizar reputation scores.</x:v>
      </x:c>
      <x:c r="H109" s="14" t="str">
        <x:v>Model Scorecard.</x:v>
      </x:c>
      <x:c r="I109" s="14" t="str">
        <x:v>Model Router/Budget.</x:v>
      </x:c>
      <x:c r="J109" s="14" t="str">
        <x:v>agent.model.evaluator.started / .completed / .failed + evidence.ledger.recorded</x:v>
      </x:c>
      <x:c r="K109" s="14" t="str">
        <x:v>Service loop com heartbeat; tasks idempotentes; estado persistente.</x:v>
      </x:c>
      <x:c r="L109" s="14" t="str">
        <x:v>Checkpoint quando houver write persistente; leitura pura dispensa snapshot.</x:v>
      </x:c>
      <x:c r="M109" s="14" t="str">
        <x:v>Por policy; leitura/análise não exige aprovação. Escritas sensíveis escalam.</x:v>
      </x:c>
      <x:c r="N109" s="14" t="str">
        <x:v>Retry bounded; registrar causa, correlação UUIDv7 e Evidence Ledger.</x:v>
      </x:c>
    </x:row>
    <x:row r="110" ht="64" customHeight="1">
      <x:c r="A110" s="14" t="str">
        <x:v>01a0e473-f647-7ab3-878b-993eea61b825</x:v>
      </x:c>
      <x:c r="B110" s="14" t="n">
        <x:v>71</x:v>
      </x:c>
      <x:c r="C110" s="14" t="str">
        <x:v>Scrum Master</x:v>
      </x:c>
      <x:c r="D110" s="14" t="str">
        <x:v>F16 Scheduler + Background Jobs | F20 Team Runtime</x:v>
      </x:c>
      <x:c r="E110" s="14" t="str">
        <x:v>Sprint ativa.</x:v>
      </x:c>
      <x:c r="F110" s="14" t="str">
        <x:v>Backlog priorizado.</x:v>
      </x:c>
      <x:c r="G110" s="14" t="str">
        <x:v>Abrir/fechar cerimônias automatizadas, sinalizar impedimentos, limitar WIP.</x:v>
      </x:c>
      <x:c r="H110" s="14" t="str">
        <x:v>Sprint health report.</x:v>
      </x:c>
      <x:c r="I110" s="14" t="str">
        <x:v>Orchestrator/PMO.</x:v>
      </x:c>
      <x:c r="J110" s="14" t="str">
        <x:v>agent.scrum.master.started / .completed / .failed + evidence.ledger.recorded</x:v>
      </x:c>
      <x:c r="K110" s="14" t="str">
        <x:v>Job UUIDv7; lease + heartbeat + fencing_token + resume_token; estado PostgreSQL.</x:v>
      </x:c>
      <x:c r="L110" s="14" t="str">
        <x:v>Checkpoint quando houver write persistente; leitura pura dispensa snapshot.</x:v>
      </x:c>
      <x:c r="M110" s="14" t="str">
        <x:v>Por policy; leitura/análise não exige aprovação. Escritas sensíveis escalam.</x:v>
      </x:c>
      <x:c r="N110" s="14" t="str">
        <x:v>Idempotência; retry exponencial com limite; DLQ; correlation UUIDv7; logs+metrics+traces+evidence.</x:v>
      </x:c>
    </x:row>
    <x:row r="111" ht="64" customHeight="1">
      <x:c r="A111" s="14" t="str">
        <x:v>01a0e473-f648-750b-a5bd-559e1bb9ce20</x:v>
      </x:c>
      <x:c r="B111" s="14" t="n">
        <x:v>72</x:v>
      </x:c>
      <x:c r="C111" s="14" t="str">
        <x:v>PMO / Planner</x:v>
      </x:c>
      <x:c r="D111" s="14" t="str">
        <x:v>F16 Scheduler + Background Jobs | F17 Checkpoint + Rollback | F20 Team Runtime | F22 Device Nodes</x:v>
      </x:c>
      <x:c r="E111" s="14" t="str">
        <x:v>Planejamento mensal/quarterly ou mudança relevante.</x:v>
      </x:c>
      <x:c r="F111" s="14" t="str">
        <x:v>Objetivos PO e arquitetura.</x:v>
      </x:c>
      <x:c r="G111" s="14" t="str">
        <x:v>Priorizar sequência técnica, prever capacidade e risco.</x:v>
      </x:c>
      <x:c r="H111" s="14" t="str">
        <x:v>Roadmap e dependency plan.</x:v>
      </x:c>
      <x:c r="I111" s="14" t="str">
        <x:v>Scrum Master/Orchestrator.</x:v>
      </x:c>
      <x:c r="J111" s="14" t="str">
        <x:v>agent.pmo.planner.started / .completed / .failed + evidence.ledger.recorded</x:v>
      </x:c>
      <x:c r="K111" s="14" t="str">
        <x:v>Job UUIDv7; lease + heartbeat + fencing_token + resume_token; estado PostgreSQL.</x:v>
      </x:c>
      <x:c r="L111" s="14" t="str">
        <x:v>Checkpoint antes de side effect relevante; hash/manifest; rollback/recovery proof obrigatório quando aplicável.</x:v>
      </x:c>
      <x:c r="M111" s="14" t="str">
        <x:v>Por policy; leitura/análise não exige aprovação. Escritas sensíveis escalam.</x:v>
      </x:c>
      <x:c r="N111" s="14" t="str">
        <x:v>Idempotência; retry exponencial com limite; DLQ; correlation UUIDv7; logs+metrics+traces+evidence.</x:v>
      </x:c>
    </x:row>
    <x:row r="112" ht="64" customHeight="1">
      <x:c r="A112" s="14" t="str">
        <x:v>01a0e473-f649-7199-8ffe-8302e5f79a04</x:v>
      </x:c>
      <x:c r="B112" s="14" t="n">
        <x:v>73</x:v>
      </x:c>
      <x:c r="C112" s="14" t="str">
        <x:v>Licensor / Clean-Room Guardian</x:v>
      </x:c>
      <x:c r="D112" s="14" t="str">
        <x:v>F15 Skill Runtime + Memory/Context Engine | F19 Repo Intelligence / Tree-sitter | F23 Secret &amp; Credential Broker</x:v>
      </x:c>
      <x:c r="E112" s="14" t="str">
        <x:v>Novo código externo, dataset, repo ou plugin.</x:v>
      </x:c>
      <x:c r="F112" s="14" t="str">
        <x:v>Fonte/licença e uso pretendido.</x:v>
      </x:c>
      <x:c r="G112" s="14" t="str">
        <x:v>APPROVE/QUARANTINE/BLOCK source e registrar provenance.</x:v>
      </x:c>
      <x:c r="H112" s="14" t="str">
        <x:v>Provenance/Clean-room Gate.</x:v>
      </x:c>
      <x:c r="I112" s="14" t="str">
        <x:v>Technology Harvest/Supply Chain.</x:v>
      </x:c>
      <x:c r="J112" s="14" t="str">
        <x:v>agent.licensor.clean.room.guardian.started / .completed / .failed + evidence.ledger.recorded</x:v>
      </x:c>
      <x:c r="K112" s="14" t="str">
        <x:v>Service loop com heartbeat; tasks idempotentes; estado persistente.</x:v>
      </x:c>
      <x:c r="L112" s="14" t="str">
        <x:v>Checkpoint antes de side effect relevante; hash/manifest; rollback/recovery proof obrigatório quando aplicável.</x:v>
      </x:c>
      <x:c r="M112" s="14" t="str">
        <x:v>Obrigatória para publicação externa, gasto, privilege elevation, ação destrutiva ou exceção constitucional.</x:v>
      </x:c>
      <x:c r="N112" s="14" t="str">
        <x:v>Fail-closed; retry bounded; side effect não é repetido sem idempotency key; incident/evidence on failure.</x:v>
      </x:c>
    </x:row>
    <x:row r="113" ht="64" customHeight="1">
      <x:c r="A113" s="14" t="str">
        <x:v>01a0e473-f64a-778d-b1d0-39f299fdcb68</x:v>
      </x:c>
      <x:c r="B113" s="14" t="n">
        <x:v>74</x:v>
      </x:c>
      <x:c r="C113" s="14" t="str">
        <x:v>Supply Chain Guardian</x:v>
      </x:c>
      <x:c r="D113" s="14" t="str">
        <x:v>F19 Repo Intelligence / Tree-sitter | F23 Secret &amp; Credential Broker</x:v>
      </x:c>
      <x:c r="E113" s="14" t="str">
        <x:v>Nova dependência/update/release.</x:v>
      </x:c>
      <x:c r="F113" s="14" t="str">
        <x:v>Dependency manifest.</x:v>
      </x:c>
      <x:c r="G113" s="14" t="str">
        <x:v>Bloquear dependency, abrir remediation, aprovar update.</x:v>
      </x:c>
      <x:c r="H113" s="14" t="str">
        <x:v>Supply-chain report/gate.</x:v>
      </x:c>
      <x:c r="I113" s="14" t="str">
        <x:v>Thompson/Versionador.</x:v>
      </x:c>
      <x:c r="J113" s="14" t="str">
        <x:v>agent.supply.chain.guardian.started / .completed / .failed + evidence.ledger.recorded</x:v>
      </x:c>
      <x:c r="K113" s="14" t="str">
        <x:v>Service loop com heartbeat; tasks idempotentes; estado persistente.</x:v>
      </x:c>
      <x:c r="L113" s="14" t="str">
        <x:v>Checkpoint antes de side effect relevante; hash/manifest; rollback/recovery proof obrigatório quando aplicável.</x:v>
      </x:c>
      <x:c r="M113" s="14" t="str">
        <x:v>Obrigatória para publicação externa, gasto, privilege elevation, ação destrutiva ou exceção constitucional.</x:v>
      </x:c>
      <x:c r="N113" s="14" t="str">
        <x:v>Fail-closed; retry bounded; side effect não é repetido sem idempotency key; incident/evidence on failure.</x:v>
      </x:c>
    </x:row>
    <x:row r="114" ht="64" customHeight="1">
      <x:c r="A114" s="14" t="str">
        <x:v>01a0e473-f64b-7d70-a70b-ecbeb962da57</x:v>
      </x:c>
      <x:c r="B114" s="14" t="n">
        <x:v>75</x:v>
      </x:c>
      <x:c r="C114" s="14" t="str">
        <x:v>Privacy/Data Governance</x:v>
      </x:c>
      <x:c r="D114" s="14" t="str">
        <x:v>F15 Skill Runtime + Memory/Context Engine | F20 Team Runtime | F23 Secret &amp; Credential Broker | F25 Knowledge / Evidence Graph</x:v>
      </x:c>
      <x:c r="E114" s="14" t="str">
        <x:v>Novo dataset/campo/log/provider.</x:v>
      </x:c>
      <x:c r="F114" s="14" t="str">
        <x:v>Data inventory.</x:v>
      </x:c>
      <x:c r="G114" s="14" t="str">
        <x:v>Classificar dados, bloquear exposição, definir retenção e anonimização.</x:v>
      </x:c>
      <x:c r="H114" s="14" t="str">
        <x:v>Data Governance Gate.</x:v>
      </x:c>
      <x:c r="I114" s="14" t="str">
        <x:v>Secrets/Model Router/QA.</x:v>
      </x:c>
      <x:c r="J114" s="14" t="str">
        <x:v>agent.privacy.data.governance.started / .completed / .failed + evidence.ledger.recorded</x:v>
      </x:c>
      <x:c r="K114" s="14" t="str">
        <x:v>Service loop com heartbeat; tasks idempotentes; estado persistente.</x:v>
      </x:c>
      <x:c r="L114" s="14" t="str">
        <x:v>Checkpoint antes de side effect relevante; hash/manifest; rollback/recovery proof obrigatório quando aplicável.</x:v>
      </x:c>
      <x:c r="M114" s="14" t="str">
        <x:v>Obrigatória para publicação externa, gasto, privilege elevation, ação destrutiva ou exceção constitucional.</x:v>
      </x:c>
      <x:c r="N114" s="14" t="str">
        <x:v>Fail-closed; retry bounded; side effect não é repetido sem idempotency key; incident/evidence on failure.</x:v>
      </x:c>
    </x:row>
    <x:row r="115" ht="64" customHeight="1">
      <x:c r="A115" s="14" t="str">
        <x:v>01a0e473-f64c-73f4-983a-ba644c60d255</x:v>
      </x:c>
      <x:c r="B115" s="14" t="n">
        <x:v>76</x:v>
      </x:c>
      <x:c r="C115" s="14" t="str">
        <x:v>Accessibility Agent</x:v>
      </x:c>
      <x:c r="D115" s="14" t="str">
        <x:v>F22 Device Nodes</x:v>
      </x:c>
      <x:c r="E115" s="14" t="str">
        <x:v>Toda feature UI/template/theme.</x:v>
      </x:c>
      <x:c r="F115" s="14" t="str">
        <x:v>Build visual e component semantics.</x:v>
      </x:c>
      <x:c r="G115" s="14" t="str">
        <x:v>Bloquear UI inacessível e propor correções.</x:v>
      </x:c>
      <x:c r="H115" s="14" t="str">
        <x:v>Accessibility Report/Gate.</x:v>
      </x:c>
      <x:c r="I115" s="14" t="str">
        <x:v>User Proof/QA.</x:v>
      </x:c>
      <x:c r="J115" s="14" t="str">
        <x:v>agent.accessibility.agent.started / .completed / .failed + evidence.ledger.recorded</x:v>
      </x:c>
      <x:c r="K115" s="14" t="str">
        <x:v>Service loop com heartbeat; tasks idempotentes; estado persistente.</x:v>
      </x:c>
      <x:c r="L115" s="14" t="str">
        <x:v>Checkpoint quando houver write persistente; leitura pura dispensa snapshot.</x:v>
      </x:c>
      <x:c r="M115" s="14" t="str">
        <x:v>Por policy; leitura/análise não exige aprovação. Escritas sensíveis escalam.</x:v>
      </x:c>
      <x:c r="N115" s="14" t="str">
        <x:v>Retry bounded; registrar causa, correlação UUIDv7 e Evidence Ledger.</x:v>
      </x:c>
    </x:row>
    <x:row r="116" ht="64" customHeight="1">
      <x:c r="A116" s="14" t="str">
        <x:v>01a0e473-f64d-75cd-8a00-29b3680a7558</x:v>
      </x:c>
      <x:c r="B116" s="14" t="n">
        <x:v>77</x:v>
      </x:c>
      <x:c r="C116" s="14" t="str">
        <x:v>Compatibility Agent</x:v>
      </x:c>
      <x:c r="D116" s="14" t="str">
        <x:v>F17 Checkpoint + Rollback | F18 MCP + LSP Runtime | F19 Repo Intelligence / Tree-sitter</x:v>
      </x:c>
      <x:c r="E116" s="14" t="str">
        <x:v>Mudança de schema/API/runtime/toolchain.</x:v>
      </x:c>
      <x:c r="F116" s="14" t="str">
        <x:v>Versões anteriores e migrators.</x:v>
      </x:c>
      <x:c r="G116" s="14" t="str">
        <x:v>Testar forward/backward compatibility e bloquear breaking não tratado.</x:v>
      </x:c>
      <x:c r="H116" s="14" t="str">
        <x:v>Compatibility Matrix/Gate.</x:v>
      </x:c>
      <x:c r="I116" s="14" t="str">
        <x:v>Versionador/Migration Guardian/QA2.</x:v>
      </x:c>
      <x:c r="J116" s="14" t="str">
        <x:v>agent.compatibility.agent.started / .completed / .failed + evidence.ledger.recorded</x:v>
      </x:c>
      <x:c r="K116" s="14" t="str">
        <x:v>Service loop com heartbeat; tasks idempotentes; estado persistente.</x:v>
      </x:c>
      <x:c r="L116" s="14" t="str">
        <x:v>Checkpoint antes de side effect relevante; hash/manifest; rollback/recovery proof obrigatório quando aplicável.</x:v>
      </x:c>
      <x:c r="M116" s="14" t="str">
        <x:v>Obrigatória para publicação externa, gasto, privilege elevation, ação destrutiva ou exceção constitucional.</x:v>
      </x:c>
      <x:c r="N116" s="14" t="str">
        <x:v>Fail-closed; retry bounded; side effect não é repetido sem idempotency key; incident/evidence on failure.</x:v>
      </x:c>
    </x:row>
    <x:row r="117" ht="64" customHeight="1">
      <x:c r="A117" s="14" t="str">
        <x:v>01a0e473-f64e-7b28-ac9d-f846ee62aee3</x:v>
      </x:c>
      <x:c r="B117" s="14" t="n">
        <x:v>78</x:v>
      </x:c>
      <x:c r="C117" s="14" t="str">
        <x:v>Chaos/Resilience Agent</x:v>
      </x:c>
      <x:c r="D117" s="14" t="str">
        <x:v>F15 Skill Runtime + Memory/Context Engine | F16 Scheduler + Background Jobs | F17 Checkpoint + Rollback | F22 Device Nodes</x:v>
      </x:c>
      <x:c r="E117" s="14" t="str">
        <x:v>Antes de releases críticas e periodicamente.</x:v>
      </x:c>
      <x:c r="F117" s="14" t="str">
        <x:v>Runbooks e topology.</x:v>
      </x:c>
      <x:c r="G117" s="14" t="str">
        <x:v>Executar chaos drills e produzir resilience proof.</x:v>
      </x:c>
      <x:c r="H117" s="14" t="str">
        <x:v>Resilience Report.</x:v>
      </x:c>
      <x:c r="I117" s="14" t="str">
        <x:v>Niobe/SRE/QA3.</x:v>
      </x:c>
      <x:c r="J117" s="14" t="str">
        <x:v>agent.chaos.resilience.agent.started / .completed / .failed + evidence.ledger.recorded</x:v>
      </x:c>
      <x:c r="K117" s="14" t="str">
        <x:v>Job UUIDv7; lease + heartbeat + fencing_token + resume_token; estado PostgreSQL.</x:v>
      </x:c>
      <x:c r="L117" s="14" t="str">
        <x:v>Checkpoint antes de side effect relevante; hash/manifest; rollback/recovery proof obrigatório quando aplicável.</x:v>
      </x:c>
      <x:c r="M117" s="14" t="str">
        <x:v>Por policy; leitura/análise não exige aprovação. Escritas sensíveis escalam.</x:v>
      </x:c>
      <x:c r="N117" s="14" t="str">
        <x:v>Idempotência; retry exponencial com limite; DLQ; correlation UUIDv7; logs+metrics+traces+evidence.</x:v>
      </x:c>
    </x:row>
    <x:row r="118" ht="64" customHeight="1">
      <x:c r="A118" s="14" t="str">
        <x:v>01a0e473-f64f-7808-9d6c-26c8b0404446</x:v>
      </x:c>
      <x:c r="B118" s="14" t="n">
        <x:v>79</x:v>
      </x:c>
      <x:c r="C118" s="14" t="str">
        <x:v>Agent Red Team</x:v>
      </x:c>
      <x:c r="D118" s="14" t="str">
        <x:v>F15 Skill Runtime + Memory/Context Engine | F17 Checkpoint + Rollback | F18 MCP + LSP Runtime | F19 Repo Intelligence / Tree-sitter | F22 Device Nodes | F23 Secret &amp; Credential Broker | F24 Auto-learning + Skill Evolution | F25 Knowledge / Evidence Graph</x:v>
      </x:c>
      <x:c r="E118" s="14" t="str">
        <x:v>Mudança em agents/tools/MCP/model gateway ou release.</x:v>
      </x:c>
      <x:c r="F118" s="14" t="str">
        <x:v>Threat scenarios.</x:v>
      </x:c>
      <x:c r="G118" s="14" t="str">
        <x:v>Simular ataques, registrar exploit e exigir mitigação.</x:v>
      </x:c>
      <x:c r="H118" s="14" t="str">
        <x:v>AI Security Gate.</x:v>
      </x:c>
      <x:c r="I118" s="14" t="str">
        <x:v>Seraph/Thompson/QA3.</x:v>
      </x:c>
      <x:c r="J118" s="14" t="str">
        <x:v>agent.agent.red.team.started / .completed / .failed + evidence.ledger.recorded</x:v>
      </x:c>
      <x:c r="K118" s="14" t="str">
        <x:v>Task UUIDv7 sob demanda; sem lease longa por padrão.</x:v>
      </x:c>
      <x:c r="L118" s="14" t="str">
        <x:v>Checkpoint antes de side effect relevante; hash/manifest; rollback/recovery proof obrigatório quando aplicável.</x:v>
      </x:c>
      <x:c r="M118" s="14" t="str">
        <x:v>Obrigatória para publicação externa, gasto, privilege elevation, ação destrutiva ou exceção constitucional.</x:v>
      </x:c>
      <x:c r="N118" s="14" t="str">
        <x:v>Fail-closed; retry bounded; side effect não é repetido sem idempotency key; incident/evidence on failure.</x:v>
      </x:c>
    </x:row>
    <x:row r="119" ht="64" customHeight="1">
      <x:c r="A119" s="14" t="str">
        <x:v>01a0e473-f650-745e-af5f-d56782a190b1</x:v>
      </x:c>
      <x:c r="B119" s="14" t="n">
        <x:v>80</x:v>
      </x:c>
      <x:c r="C119" s="14" t="str">
        <x:v>User Proof / UX Research</x:v>
      </x:c>
      <x:c r="D119" s="14" t="str">
        <x:v>F15 Skill Runtime + Memory/Context Engine | F18 MCP + LSP Runtime | F19 Repo Intelligence / Tree-sitter | F24 Auto-learning + Skill Evolution | F25 Knowledge / Evidence Graph</x:v>
      </x:c>
      <x:c r="E119" s="14" t="str">
        <x:v>Feature UX pronta após Accessibility.</x:v>
      </x:c>
      <x:c r="F119" s="14" t="str">
        <x:v>Objetivo de usuário e build.</x:v>
      </x:c>
      <x:c r="G119" s="14" t="str">
        <x:v>Executar user proof e emitir findings.</x:v>
      </x:c>
      <x:c r="H119" s="14" t="str">
        <x:v>Usability Proof.</x:v>
      </x:c>
      <x:c r="I119" s="14" t="str">
        <x:v>QA/Creative Studio.</x:v>
      </x:c>
      <x:c r="J119" s="14" t="str">
        <x:v>agent.user.proof.ux.research.started / .completed / .failed + evidence.ledger.recorded</x:v>
      </x:c>
      <x:c r="K119" s="14" t="str">
        <x:v>Task UUIDv7 sob demanda; sem lease longa por padrão.</x:v>
      </x:c>
      <x:c r="L119" s="14" t="str">
        <x:v>Checkpoint quando houver write persistente; leitura pura dispensa snapshot.</x:v>
      </x:c>
      <x:c r="M119" s="14" t="str">
        <x:v>Por policy; leitura/análise não exige aprovação. Escritas sensíveis escalam.</x:v>
      </x:c>
      <x:c r="N119" s="14" t="str">
        <x:v>Retry bounded; registrar causa, correlação UUIDv7 e Evidence Ledger.</x:v>
      </x:c>
    </x:row>
    <x:row r="120" ht="64" customHeight="1">
      <x:c r="A120" s="14" t="str">
        <x:v>01a0e473-f651-73ac-85cf-08512eae46c4</x:v>
      </x:c>
      <x:c r="B120" s="14" t="n">
        <x:v>81</x:v>
      </x:c>
      <x:c r="C120" s="14" t="str">
        <x:v>FinOps Agent</x:v>
      </x:c>
      <x:c r="D120" s="14" t="str">
        <x:v>F16 Scheduler + Background Jobs | F17 Checkpoint + Rollback | F20 Team Runtime | F22 Device Nodes</x:v>
      </x:c>
      <x:c r="E120" s="14" t="str">
        <x:v>Fechamento mensal ou aumento de custo.</x:v>
      </x:c>
      <x:c r="F120" s="14" t="str">
        <x:v>Usage/cost data.</x:v>
      </x:c>
      <x:c r="G120" s="14" t="str">
        <x:v>Analisar e propor redução de custo sem degradar SLO/qualidade.</x:v>
      </x:c>
      <x:c r="H120" s="14" t="str">
        <x:v>FinOps/TCO Report.</x:v>
      </x:c>
      <x:c r="I120" s="14" t="str">
        <x:v>PO/Budget/SRE.</x:v>
      </x:c>
      <x:c r="J120" s="14" t="str">
        <x:v>agent.finops.agent.started / .completed / .failed + evidence.ledger.recorded</x:v>
      </x:c>
      <x:c r="K120" s="14" t="str">
        <x:v>Job UUIDv7; lease + heartbeat + fencing_token + resume_token; estado PostgreSQL.</x:v>
      </x:c>
      <x:c r="L120" s="14" t="str">
        <x:v>Checkpoint antes de side effect relevante; hash/manifest; rollback/recovery proof obrigatório quando aplicável.</x:v>
      </x:c>
      <x:c r="M120" s="14" t="str">
        <x:v>Por policy; leitura/análise não exige aprovação. Escritas sensíveis escalam.</x:v>
      </x:c>
      <x:c r="N120" s="14" t="str">
        <x:v>Idempotência; retry exponencial com limite; DLQ; correlation UUIDv7; logs+metrics+traces+evidence.</x:v>
      </x:c>
    </x:row>
    <x:row r="121" ht="64" customHeight="1">
      <x:c r="A121" s="14" t="str">
        <x:v>01a0e473-f652-73bf-95cc-e0fe919f7d54</x:v>
      </x:c>
      <x:c r="B121" s="14" t="n">
        <x:v>82</x:v>
      </x:c>
      <x:c r="C121" s="14" t="str">
        <x:v>Migration Guardian</x:v>
      </x:c>
      <x:c r="D121" s="14" t="str">
        <x:v>F17 Checkpoint + Rollback | F19 Repo Intelligence / Tree-sitter | F23 Secret &amp; Credential Broker | F25 Knowledge / Evidence Graph</x:v>
      </x:c>
      <x:c r="E121" s="14" t="str">
        <x:v>Qualquer migration persistente.</x:v>
      </x:c>
      <x:c r="F121" s="14" t="str">
        <x:v>Schema diff e migration plan.</x:v>
      </x:c>
      <x:c r="G121" s="14" t="str">
        <x:v>Bloquear migration destrutiva, exigir backup/dry-run.</x:v>
      </x:c>
      <x:c r="H121" s="14" t="str">
        <x:v>Migration Gate + rollback proof.</x:v>
      </x:c>
      <x:c r="I121" s="14" t="str">
        <x:v>Backup/Compatibility/QA3.</x:v>
      </x:c>
      <x:c r="J121" s="14" t="str">
        <x:v>agent.migration.guardian.started / .completed / .failed + evidence.ledger.recorded</x:v>
      </x:c>
      <x:c r="K121" s="14" t="str">
        <x:v>Service loop com heartbeat; tasks idempotentes; estado persistente.</x:v>
      </x:c>
      <x:c r="L121" s="14" t="str">
        <x:v>Checkpoint antes de side effect relevante; hash/manifest; rollback/recovery proof obrigatório quando aplicável.</x:v>
      </x:c>
      <x:c r="M121" s="14" t="str">
        <x:v>Obrigatória para publicação externa, gasto, privilege elevation, ação destrutiva ou exceção constitucional.</x:v>
      </x:c>
      <x:c r="N121" s="14" t="str">
        <x:v>Fail-closed; retry bounded; side effect não é repetido sem idempotency key; incident/evidence on failure.</x:v>
      </x:c>
    </x:row>
    <x:row r="122" ht="64" customHeight="1">
      <x:c r="A122" s="14" t="str">
        <x:v>01a0e473-f653-7e06-8fa5-10c77bec7519</x:v>
      </x:c>
      <x:c r="B122" s="14" t="n">
        <x:v>83</x:v>
      </x:c>
      <x:c r="C122" s="14" t="str">
        <x:v>Seraph</x:v>
      </x:c>
      <x:c r="D122" s="14" t="str">
        <x:v>F18 MCP + LSP Runtime | F19 Repo Intelligence / Tree-sitter | F23 Secret &amp; Credential Broker</x:v>
      </x:c>
      <x:c r="E122" s="14" t="str">
        <x:v>Toda execução de agente/tool sensível.</x:v>
      </x:c>
      <x:c r="F122" s="14" t="str">
        <x:v>Role policy e task context.</x:v>
      </x:c>
      <x:c r="G122" s="14" t="str">
        <x:v>Autorizar/negar capability e revogar acesso.</x:v>
      </x:c>
      <x:c r="H122" s="14" t="str">
        <x:v>Access decision/audit.</x:v>
      </x:c>
      <x:c r="I122" s="14" t="str">
        <x:v>Tool Gateway/Agent runtime.</x:v>
      </x:c>
      <x:c r="J122" s="14" t="str">
        <x:v>agent.seraph.started / .completed / .failed + evidence.ledger.recorded</x:v>
      </x:c>
      <x:c r="K122" s="14" t="str">
        <x:v>Service loop com heartbeat; tasks idempotentes; estado persistente.</x:v>
      </x:c>
      <x:c r="L122" s="14" t="str">
        <x:v>Checkpoint antes de side effect relevante; hash/manifest; rollback/recovery proof obrigatório quando aplicável.</x:v>
      </x:c>
      <x:c r="M122" s="14" t="str">
        <x:v>Obrigatória para publicação externa, gasto, privilege elevation, ação destrutiva ou exceção constitucional.</x:v>
      </x:c>
      <x:c r="N122" s="14" t="str">
        <x:v>Fail-closed; retry bounded; side effect não é repetido sem idempotency key; incident/evidence on failure.</x:v>
      </x:c>
    </x:row>
    <x:row r="123" ht="64" customHeight="1">
      <x:c r="A123" s="14" t="str">
        <x:v>01a0e473-f654-7cd0-bdaa-d9b448fe310e</x:v>
      </x:c>
      <x:c r="B123" s="14" t="n">
        <x:v>84</x:v>
      </x:c>
      <x:c r="C123" s="14" t="str">
        <x:v>Niobe</x:v>
      </x:c>
      <x:c r="D123" s="14" t="str">
        <x:v>F16 Scheduler + Background Jobs | F17 Checkpoint + Rollback | F22 Device Nodes</x:v>
      </x:c>
      <x:c r="E123" s="14" t="str">
        <x:v>Falha operacional relevante.</x:v>
      </x:c>
      <x:c r="F123" s="14" t="str">
        <x:v>Alerts e impact report.</x:v>
      </x:c>
      <x:c r="G123" s="14" t="str">
        <x:v>Conter, coordenar, escalar, declarar recovery.</x:v>
      </x:c>
      <x:c r="H123" s="14" t="str">
        <x:v>Incident timeline/postmortem.</x:v>
      </x:c>
      <x:c r="I123" s="14" t="str">
        <x:v>Brown/SRE/Restore/Postmortem.</x:v>
      </x:c>
      <x:c r="J123" s="14" t="str">
        <x:v>agent.niobe.started / .completed / .failed + evidence.ledger.recorded</x:v>
      </x:c>
      <x:c r="K123" s="14" t="str">
        <x:v>Job UUIDv7; lease + heartbeat + fencing_token + resume_token; estado PostgreSQL.</x:v>
      </x:c>
      <x:c r="L123" s="14" t="str">
        <x:v>Checkpoint antes de side effect relevante; hash/manifest; rollback/recovery proof obrigatório quando aplicável.</x:v>
      </x:c>
      <x:c r="M123" s="14" t="str">
        <x:v>Obrigatória para publicação externa, gasto, privilege elevation, ação destrutiva ou exceção constitucional.</x:v>
      </x:c>
      <x:c r="N123" s="14" t="str">
        <x:v>Idempotência; retry exponencial com limite; DLQ; correlation UUIDv7; logs+metrics+traces+evidence.</x:v>
      </x:c>
    </x:row>
    <x:row r="124" ht="64" customHeight="1">
      <x:c r="A124" s="14" t="str">
        <x:v>01a0e473-f655-79ba-b433-fd32d0718d28</x:v>
      </x:c>
      <x:c r="B124" s="14" t="n">
        <x:v>85</x:v>
      </x:c>
      <x:c r="C124" s="14" t="str">
        <x:v>Link</x:v>
      </x:c>
      <x:c r="D124" s="14" t="str">
        <x:v>F18 MCP + LSP Runtime | F22 Device Nodes</x:v>
      </x:c>
      <x:c r="E124" s="14" t="str">
        <x:v>Agent precisa de capability externa.</x:v>
      </x:c>
      <x:c r="F124" s="14" t="str">
        <x:v>Tool request autorizado.</x:v>
      </x:c>
      <x:c r="G124" s="14" t="str">
        <x:v>Conectar/desconectar tool, validar health e rotear chamada.</x:v>
      </x:c>
      <x:c r="H124" s="14" t="str">
        <x:v>Tool execution result/audit.</x:v>
      </x:c>
      <x:c r="I124" s="14" t="str">
        <x:v>Agent/Tool audit.</x:v>
      </x:c>
      <x:c r="J124" s="14" t="str">
        <x:v>agent.link.started / .completed / .failed + evidence.ledger.recorded</x:v>
      </x:c>
      <x:c r="K124" s="14" t="str">
        <x:v>Service loop com heartbeat; tasks idempotentes; estado persistente.</x:v>
      </x:c>
      <x:c r="L124" s="14" t="str">
        <x:v>Checkpoint quando houver write persistente; leitura pura dispensa snapshot.</x:v>
      </x:c>
      <x:c r="M124" s="14" t="str">
        <x:v>Por policy; leitura/análise não exige aprovação. Escritas sensíveis escalam.</x:v>
      </x:c>
      <x:c r="N124" s="14" t="str">
        <x:v>Retry bounded; registrar causa, correlação UUIDv7 e Evidence Ledger.</x:v>
      </x:c>
    </x:row>
    <x:row r="125" ht="64" customHeight="1">
      <x:c r="A125" s="14" t="str">
        <x:v>01a0e473-f656-743b-926b-6f8ac00e7132</x:v>
      </x:c>
      <x:c r="B125" s="14" t="n">
        <x:v>86</x:v>
      </x:c>
      <x:c r="C125" s="14" t="str">
        <x:v>Tank</x:v>
      </x:c>
      <x:c r="D125" s="14" t="str">
        <x:v>F17 Checkpoint + Rollback | F18 MCP + LSP Runtime | F22 Device Nodes | F25 Knowledge / Evidence Graph</x:v>
      </x:c>
      <x:c r="E125" s="14" t="str">
        <x:v>Build solicitado por CI/release.</x:v>
      </x:c>
      <x:c r="F125" s="14" t="str">
        <x:v>Source + toolchain manifest.</x:v>
      </x:c>
      <x:c r="G125" s="14" t="str">
        <x:v>Buildar, assinar/hashear e registrar artifact.</x:v>
      </x:c>
      <x:c r="H125" s="14" t="str">
        <x:v>Build artifact + logs + hashes.</x:v>
      </x:c>
      <x:c r="I125" s="14" t="str">
        <x:v>Reproducible Build/Artifact Manager.</x:v>
      </x:c>
      <x:c r="J125" s="14" t="str">
        <x:v>agent.tank.started / .completed / .failed + evidence.ledger.recorded</x:v>
      </x:c>
      <x:c r="K125" s="14" t="str">
        <x:v>Service loop com heartbeat; tasks idempotentes; estado persistente.</x:v>
      </x:c>
      <x:c r="L125" s="14" t="str">
        <x:v>Checkpoint antes de side effect relevante; hash/manifest; rollback/recovery proof obrigatório quando aplicável.</x:v>
      </x:c>
      <x:c r="M125" s="14" t="str">
        <x:v>Por policy; leitura/análise não exige aprovação. Escritas sensíveis escalam.</x:v>
      </x:c>
      <x:c r="N125" s="14" t="str">
        <x:v>Retry bounded; registrar causa, correlação UUIDv7 e Evidence Ledger.</x:v>
      </x:c>
    </x:row>
    <x:row r="126" ht="64" customHeight="1">
      <x:c r="A126" s="14" t="str">
        <x:v>01a0e473-f657-70e6-aea4-487c8c041cc2</x:v>
      </x:c>
      <x:c r="B126" s="14" t="n">
        <x:v>87</x:v>
      </x:c>
      <x:c r="C126" s="14" t="str">
        <x:v>Dozer</x:v>
      </x:c>
      <x:c r="D126" s="14" t="str">
        <x:v>F17 Checkpoint + Rollback | F22 Device Nodes</x:v>
      </x:c>
      <x:c r="E126" s="14" t="str">
        <x:v>Demanda de ambiente, capacity issue ou incident.</x:v>
      </x:c>
      <x:c r="F126" s="14" t="str">
        <x:v>Topology/capacity plan.</x:v>
      </x:c>
      <x:c r="G126" s="14" t="str">
        <x:v>Provisionar, ajustar quota/capacidade e reparar infraestrutura.</x:v>
      </x:c>
      <x:c r="H126" s="14" t="str">
        <x:v>Infrastructure state/change log.</x:v>
      </x:c>
      <x:c r="I126" s="14" t="str">
        <x:v>SRE/Sandbox/Niobe.</x:v>
      </x:c>
      <x:c r="J126" s="14" t="str">
        <x:v>agent.dozer.started / .completed / .failed + evidence.ledger.recorded</x:v>
      </x:c>
      <x:c r="K126" s="14" t="str">
        <x:v>Service loop com heartbeat; tasks idempotentes; estado persistente.</x:v>
      </x:c>
      <x:c r="L126" s="14" t="str">
        <x:v>Checkpoint antes de side effect relevante; hash/manifest; rollback/recovery proof obrigatório quando aplicável.</x:v>
      </x:c>
      <x:c r="M126" s="14" t="str">
        <x:v>Por policy; leitura/análise não exige aprovação. Escritas sensíveis escalam.</x:v>
      </x:c>
      <x:c r="N126" s="14" t="str">
        <x:v>Retry bounded; registrar causa, correlação UUIDv7 e Evidence Ledger.</x:v>
      </x:c>
    </x:row>
    <x:row r="127" ht="64" customHeight="1">
      <x:c r="A127" s="14" t="str">
        <x:v>01a0e473-f658-7333-bb3a-af3afe577499</x:v>
      </x:c>
      <x:c r="B127" s="14" t="n">
        <x:v>88</x:v>
      </x:c>
      <x:c r="C127" s="14" t="str">
        <x:v>Mouse</x:v>
      </x:c>
      <x:c r="D127" s="14" t="str">
        <x:v>F15 Skill Runtime + Memory/Context Engine | F17 Checkpoint + Rollback | F18 MCP + LSP Runtime | F22 Device Nodes</x:v>
      </x:c>
      <x:c r="E127" s="14" t="str">
        <x:v>Hypothesis com experimento técnico.</x:v>
      </x:c>
      <x:c r="F127" s="14" t="str">
        <x:v>Hypothesis plan.</x:v>
      </x:c>
      <x:c r="G127" s="14" t="str">
        <x:v>Criar spike, executar experimento e coletar evidence.</x:v>
      </x:c>
      <x:c r="H127" s="14" t="str">
        <x:v>Prototype Evidence.</x:v>
      </x:c>
      <x:c r="I127" s="14" t="str">
        <x:v>Hypothesis/Oráculo.</x:v>
      </x:c>
      <x:c r="J127" s="14" t="str">
        <x:v>agent.mouse.started / .completed / .failed + evidence.ledger.recorded</x:v>
      </x:c>
      <x:c r="K127" s="14" t="str">
        <x:v>Task UUIDv7 sob demanda; sem lease longa por padrão.</x:v>
      </x:c>
      <x:c r="L127" s="14" t="str">
        <x:v>Checkpoint antes de side effect relevante; hash/manifest; rollback/recovery proof obrigatório quando aplicável.</x:v>
      </x:c>
      <x:c r="M127" s="14" t="str">
        <x:v>Por policy; leitura/análise não exige aprovação. Escritas sensíveis escalam.</x:v>
      </x:c>
      <x:c r="N127" s="14" t="str">
        <x:v>Retry bounded; registrar causa, correlação UUIDv7 e Evidence Ledger.</x:v>
      </x:c>
    </x:row>
    <x:row r="128" ht="64" customHeight="1">
      <x:c r="A128" s="14" t="str">
        <x:v>01a0e473-f659-7406-bb57-477469a028fe</x:v>
      </x:c>
      <x:c r="B128" s="14" t="n">
        <x:v>89</x:v>
      </x:c>
      <x:c r="C128" s="14" t="str">
        <x:v>Sati</x:v>
      </x:c>
      <x:c r="D128" s="14" t="str">
        <x:v>F15 Skill Runtime + Memory/Context Engine | F17 Checkpoint + Rollback | F22 Device Nodes | F24 Auto-learning + Skill Evolution</x:v>
      </x:c>
      <x:c r="E128" s="14" t="str">
        <x:v>Problema de UX/visual aberto.</x:v>
      </x:c>
      <x:c r="F128" s="14" t="str">
        <x:v>Brief e constraints.</x:v>
      </x:c>
      <x:c r="G128" s="14" t="str">
        <x:v>Gerar alternativas e protótipos criativos.</x:v>
      </x:c>
      <x:c r="H128" s="14" t="str">
        <x:v>Creative proposal/prototype.</x:v>
      </x:c>
      <x:c r="I128" s="14" t="str">
        <x:v>Creative Studio review.</x:v>
      </x:c>
      <x:c r="J128" s="14" t="str">
        <x:v>agent.sati.started / .completed / .failed + evidence.ledger.recorded</x:v>
      </x:c>
      <x:c r="K128" s="14" t="str">
        <x:v>Task UUIDv7 sob demanda; sem lease longa por padrão.</x:v>
      </x:c>
      <x:c r="L128" s="14" t="str">
        <x:v>Checkpoint antes de side effect relevante; hash/manifest; rollback/recovery proof obrigatório quando aplicável.</x:v>
      </x:c>
      <x:c r="M128" s="14" t="str">
        <x:v>Por policy; leitura/análise não exige aprovação. Escritas sensíveis escalam.</x:v>
      </x:c>
      <x:c r="N128" s="14" t="str">
        <x:v>Retry bounded; registrar causa, correlação UUIDv7 e Evidence Ledger.</x:v>
      </x:c>
    </x:row>
    <x:row r="129" ht="64" customHeight="1">
      <x:c r="A129" s="14" t="str">
        <x:v>01a0e473-f65a-7b3e-8cd5-841d03fd2ed6</x:v>
      </x:c>
      <x:c r="B129" s="14" t="n">
        <x:v>90</x:v>
      </x:c>
      <x:c r="C129" s="14" t="str">
        <x:v>Spoon Boy</x:v>
      </x:c>
      <x:c r="D129" s="14" t="str">
        <x:v>F15 Skill Runtime + Memory/Context Engine | F22 Device Nodes | F24 Auto-learning + Skill Evolution</x:v>
      </x:c>
      <x:c r="E129" s="14" t="str">
        <x:v>Problema aparentemente bloqueado ou caro.</x:v>
      </x:c>
      <x:c r="F129" s="14" t="str">
        <x:v>Current assumptions.</x:v>
      </x:c>
      <x:c r="G129" s="14" t="str">
        <x:v>Desafiar premissas e propor experimento.</x:v>
      </x:c>
      <x:c r="H129" s="14" t="str">
        <x:v>Alternative Hypothesis.</x:v>
      </x:c>
      <x:c r="I129" s="14" t="str">
        <x:v>Hypothesis/Oráculo.</x:v>
      </x:c>
      <x:c r="J129" s="14" t="str">
        <x:v>agent.spoon.boy.started / .completed / .failed + evidence.ledger.recorded</x:v>
      </x:c>
      <x:c r="K129" s="14" t="str">
        <x:v>Task UUIDv7 sob demanda; sem lease longa por padrão.</x:v>
      </x:c>
      <x:c r="L129" s="14" t="str">
        <x:v>Checkpoint quando houver write persistente; leitura pura dispensa snapshot.</x:v>
      </x:c>
      <x:c r="M129" s="14" t="str">
        <x:v>Por policy; leitura/análise não exige aprovação. Escritas sensíveis escalam.</x:v>
      </x:c>
      <x:c r="N129" s="14" t="str">
        <x:v>Retry bounded; registrar causa, correlação UUIDv7 e Evidence Ledger.</x:v>
      </x:c>
    </x:row>
    <x:row r="130" ht="64" customHeight="1">
      <x:c r="A130" s="14" t="str">
        <x:v>01a0e473-f65b-7843-bd00-6ec15746660c</x:v>
      </x:c>
      <x:c r="B130" s="14" t="n">
        <x:v>91</x:v>
      </x:c>
      <x:c r="C130" s="14" t="str">
        <x:v>Potentials / Aprendizes do Oráculo</x:v>
      </x:c>
      <x:c r="D130" s="14" t="str">
        <x:v>F15 Skill Runtime + Memory/Context Engine | F22 Device Nodes | F24 Auto-learning + Skill Evolution | F25 Knowledge / Evidence Graph</x:v>
      </x:c>
      <x:c r="E130" s="14" t="str">
        <x:v>Problema exploratório ou hipótese ampla.</x:v>
      </x:c>
      <x:c r="F130" s="14" t="str">
        <x:v>Brief do Oráculo/Hypothesis.</x:v>
      </x:c>
      <x:c r="G130" s="14" t="str">
        <x:v>Pesquisar/prototipar/experimentar sem permissão de merge.</x:v>
      </x:c>
      <x:c r="H130" s="14" t="str">
        <x:v>Experimental findings.</x:v>
      </x:c>
      <x:c r="I130" s="14" t="str">
        <x:v>Oráculo/Research/Hypothesis.</x:v>
      </x:c>
      <x:c r="J130" s="14" t="str">
        <x:v>agent.potentials.aprendizes.do.oraculo.started / .completed / .failed + evidence.ledger.recorded</x:v>
      </x:c>
      <x:c r="K130" s="14" t="str">
        <x:v>Task UUIDv7 sob demanda; sem lease longa por padrão.</x:v>
      </x:c>
      <x:c r="L130" s="14" t="str">
        <x:v>Checkpoint quando houver write persistente; leitura pura dispensa snapshot.</x:v>
      </x:c>
      <x:c r="M130" s="14" t="str">
        <x:v>Por policy; leitura/análise não exige aprovação. Escritas sensíveis escalam.</x:v>
      </x:c>
      <x:c r="N130" s="14" t="str">
        <x:v>Retry bounded; registrar causa, correlação UUIDv7 e Evidence Ledger.</x:v>
      </x:c>
    </x:row>
    <x:row r="131" ht="64" customHeight="1">
      <x:c r="A131" s="14" t="str">
        <x:v>01a0e473-f65c-7e23-b1d6-7c75dec91318</x:v>
      </x:c>
      <x:c r="B131" s="14" t="n">
        <x:v>92</x:v>
      </x:c>
      <x:c r="C131" s="14" t="str">
        <x:v>Leonardo da Vinci</x:v>
      </x:c>
      <x:c r="D131" s="14" t="str">
        <x:v>F15 Skill Runtime + Memory/Context Engine | F19 Repo Intelligence / Tree-sitter | F22 Device Nodes</x:v>
      </x:c>
      <x:c r="E131" s="14" t="str">
        <x:v>Nova tela/produto/jornada complexa.</x:v>
      </x:c>
      <x:c r="F131" s="14" t="str">
        <x:v>User goals e constraints.</x:v>
      </x:c>
      <x:c r="G131" s="14" t="str">
        <x:v>Definir conceito/fluxo e opções de design.</x:v>
      </x:c>
      <x:c r="H131" s="14" t="str">
        <x:v>Design concept + flow/wireframe.</x:v>
      </x:c>
      <x:c r="I131" s="14" t="str">
        <x:v>Raphaël/Van Gogh.</x:v>
      </x:c>
      <x:c r="J131" s="14" t="str">
        <x:v>agent.leonardo.da.vinci.started / .completed / .failed + evidence.ledger.recorded</x:v>
      </x:c>
      <x:c r="K131" s="14" t="str">
        <x:v>Task UUIDv7 sob demanda; sem lease longa por padrão.</x:v>
      </x:c>
      <x:c r="L131" s="14" t="str">
        <x:v>Checkpoint quando houver write persistente; leitura pura dispensa snapshot.</x:v>
      </x:c>
      <x:c r="M131" s="14" t="str">
        <x:v>Por policy; leitura/análise não exige aprovação. Escritas sensíveis escalam.</x:v>
      </x:c>
      <x:c r="N131" s="14" t="str">
        <x:v>Retry bounded; registrar causa, correlação UUIDv7 e Evidence Ledger.</x:v>
      </x:c>
    </x:row>
    <x:row r="132" ht="64" customHeight="1">
      <x:c r="A132" s="14" t="str">
        <x:v>01a0e473-f65d-7a1d-b60f-8f2e353f1d84</x:v>
      </x:c>
      <x:c r="B132" s="14" t="n">
        <x:v>93</x:v>
      </x:c>
      <x:c r="C132" s="14" t="str">
        <x:v>Michelângelo</x:v>
      </x:c>
      <x:c r="D132" s="14" t="str">
        <x:v>F22 Device Nodes</x:v>
      </x:c>
      <x:c r="E132" s="14" t="str">
        <x:v>Conceito aprovado.</x:v>
      </x:c>
      <x:c r="F132" s="14" t="str">
        <x:v>Design concept e system constraints.</x:v>
      </x:c>
      <x:c r="G132" s="14" t="str">
        <x:v>Produzir high-fidelity e polish.</x:v>
      </x:c>
      <x:c r="H132" s="14" t="str">
        <x:v>High-fidelity UI specification.</x:v>
      </x:c>
      <x:c r="I132" s="14" t="str">
        <x:v>Donatello/Beethoven/Mozart.</x:v>
      </x:c>
      <x:c r="J132" s="14" t="str">
        <x:v>agent.michelangelo.started / .completed / .failed + evidence.ledger.recorded</x:v>
      </x:c>
      <x:c r="K132" s="14" t="str">
        <x:v>Task UUIDv7 sob demanda; sem lease longa por padrão.</x:v>
      </x:c>
      <x:c r="L132" s="14" t="str">
        <x:v>Checkpoint quando houver write persistente; leitura pura dispensa snapshot.</x:v>
      </x:c>
      <x:c r="M132" s="14" t="str">
        <x:v>Por policy; leitura/análise não exige aprovação. Escritas sensíveis escalam.</x:v>
      </x:c>
      <x:c r="N132" s="14" t="str">
        <x:v>Retry bounded; registrar causa, correlação UUIDv7 e Evidence Ledger.</x:v>
      </x:c>
    </x:row>
    <x:row r="133" ht="64" customHeight="1">
      <x:c r="A133" s="14" t="str">
        <x:v>01a0e473-f65e-795b-b4bb-311ae6485b36</x:v>
      </x:c>
      <x:c r="B133" s="14" t="n">
        <x:v>94</x:v>
      </x:c>
      <x:c r="C133" s="14" t="str">
        <x:v>Donatello</x:v>
      </x:c>
      <x:c r="D133" s="14" t="str">
        <x:v>F22 Device Nodes</x:v>
      </x:c>
      <x:c r="E133" s="14" t="str">
        <x:v>Visual aprovado ou novo componente.</x:v>
      </x:c>
      <x:c r="F133" s="14" t="str">
        <x:v>High-fidelity e constraints técnicas.</x:v>
      </x:c>
      <x:c r="G133" s="14" t="str">
        <x:v>Criar design system/component specs e mapear para implementação.</x:v>
      </x:c>
      <x:c r="H133" s="14" t="str">
        <x:v>Component Design System.</x:v>
      </x:c>
      <x:c r="I133" s="14" t="str">
        <x:v>UI/RAD Agent / QA visual.</x:v>
      </x:c>
      <x:c r="J133" s="14" t="str">
        <x:v>agent.donatello.started / .completed / .failed + evidence.ledger.recorded</x:v>
      </x:c>
      <x:c r="K133" s="14" t="str">
        <x:v>Task UUIDv7 sob demanda; sem lease longa por padrão.</x:v>
      </x:c>
      <x:c r="L133" s="14" t="str">
        <x:v>Checkpoint quando houver write persistente; leitura pura dispensa snapshot.</x:v>
      </x:c>
      <x:c r="M133" s="14" t="str">
        <x:v>Por policy; leitura/análise não exige aprovação. Escritas sensíveis escalam.</x:v>
      </x:c>
      <x:c r="N133" s="14" t="str">
        <x:v>Retry bounded; registrar causa, correlação UUIDv7 e Evidence Ledger.</x:v>
      </x:c>
    </x:row>
    <x:row r="134" ht="64" customHeight="1">
      <x:c r="A134" s="14" t="str">
        <x:v>01a0e473-f65f-7219-b54a-2165f244699f</x:v>
      </x:c>
      <x:c r="B134" s="14" t="n">
        <x:v>95</x:v>
      </x:c>
      <x:c r="C134" s="14" t="str">
        <x:v>Raphaël / Rafael</x:v>
      </x:c>
      <x:c r="D134" s="14" t="str">
        <x:v>F15 Skill Runtime + Memory/Context Engine | F22 Device Nodes</x:v>
      </x:c>
      <x:c r="E134" s="14" t="str">
        <x:v>Após conceito ou durante review.</x:v>
      </x:c>
      <x:c r="F134" s="14" t="str">
        <x:v>Wireframes/high-fidelity.</x:v>
      </x:c>
      <x:c r="G134" s="14" t="str">
        <x:v>Revisar e harmonizar design.</x:v>
      </x:c>
      <x:c r="H134" s="14" t="str">
        <x:v>Visual consistency review.</x:v>
      </x:c>
      <x:c r="I134" s="14" t="str">
        <x:v>Splinter/Accessibility.</x:v>
      </x:c>
      <x:c r="J134" s="14" t="str">
        <x:v>agent.rapha.l.rafael.started / .completed / .failed + evidence.ledger.recorded</x:v>
      </x:c>
      <x:c r="K134" s="14" t="str">
        <x:v>Task UUIDv7 sob demanda; sem lease longa por padrão.</x:v>
      </x:c>
      <x:c r="L134" s="14" t="str">
        <x:v>Checkpoint quando houver write persistente; leitura pura dispensa snapshot.</x:v>
      </x:c>
      <x:c r="M134" s="14" t="str">
        <x:v>Por policy; leitura/análise não exige aprovação. Escritas sensíveis escalam.</x:v>
      </x:c>
      <x:c r="N134" s="14" t="str">
        <x:v>Retry bounded; registrar causa, correlação UUIDv7 e Evidence Ledger.</x:v>
      </x:c>
    </x:row>
    <x:row r="135" ht="64" customHeight="1">
      <x:c r="A135" s="14" t="str">
        <x:v>01a0e473-f660-7150-842e-9e93a93d7648</x:v>
      </x:c>
      <x:c r="B135" s="14" t="n">
        <x:v>96</x:v>
      </x:c>
      <x:c r="C135" s="14" t="str">
        <x:v>Mestre Splinter</x:v>
      </x:c>
      <x:c r="D135" s="14" t="str">
        <x:v>F20 Team Runtime | F25 Knowledge / Evidence Graph</x:v>
      </x:c>
      <x:c r="E135" s="14" t="str">
        <x:v>Antes de Accessibility/User Proof.</x:v>
      </x:c>
      <x:c r="F135" s="14" t="str">
        <x:v>Creative package.</x:v>
      </x:c>
      <x:c r="G135" s="14" t="str">
        <x:v>Aprovar para validação, pedir iteração ou rejeitar proposta.</x:v>
      </x:c>
      <x:c r="H135" s="14" t="str">
        <x:v>Creative Maturity Gate.</x:v>
      </x:c>
      <x:c r="I135" s="14" t="str">
        <x:v>Accessibility/User Proof.</x:v>
      </x:c>
      <x:c r="J135" s="14" t="str">
        <x:v>agent.mestre.splinter.started / .completed / .failed + evidence.ledger.recorded</x:v>
      </x:c>
      <x:c r="K135" s="14" t="str">
        <x:v>Task UUIDv7 sob demanda; sem lease longa por padrão.</x:v>
      </x:c>
      <x:c r="L135" s="14" t="str">
        <x:v>Checkpoint quando houver write persistente; leitura pura dispensa snapshot.</x:v>
      </x:c>
      <x:c r="M135" s="14" t="str">
        <x:v>Obrigatória para publicação externa, gasto, privilege elevation, ação destrutiva ou exceção constitucional.</x:v>
      </x:c>
      <x:c r="N135" s="14" t="str">
        <x:v>Retry bounded; registrar causa, correlação UUIDv7 e Evidence Ledger.</x:v>
      </x:c>
    </x:row>
    <x:row r="136" ht="64" customHeight="1">
      <x:c r="A136" s="14" t="str">
        <x:v>01a0e473-f661-77bb-ac3d-0d27237afbf6</x:v>
      </x:c>
      <x:c r="B136" s="14" t="n">
        <x:v>97</x:v>
      </x:c>
      <x:c r="C136" s="14" t="str">
        <x:v>Van Gogh</x:v>
      </x:c>
      <x:c r="D136" s="14" t="str">
        <x:v>F15 Skill Runtime + Memory/Context Engine</x:v>
      </x:c>
      <x:c r="E136" s="14" t="str">
        <x:v>Nova identidade/theme ou revisão visual.</x:v>
      </x:c>
      <x:c r="F136" s="14" t="str">
        <x:v>Brand/product intent.</x:v>
      </x:c>
      <x:c r="G136" s="14" t="str">
        <x:v>Criar theme variants e identidade.</x:v>
      </x:c>
      <x:c r="H136" s="14" t="str">
        <x:v>Theme/identity system.</x:v>
      </x:c>
      <x:c r="I136" s="14" t="str">
        <x:v>Raphaël/Splinter/Accessibility.</x:v>
      </x:c>
      <x:c r="J136" s="14" t="str">
        <x:v>agent.van.gogh.started / .completed / .failed + evidence.ledger.recorded</x:v>
      </x:c>
      <x:c r="K136" s="14" t="str">
        <x:v>Task UUIDv7 sob demanda; sem lease longa por padrão.</x:v>
      </x:c>
      <x:c r="L136" s="14" t="str">
        <x:v>Checkpoint quando houver write persistente; leitura pura dispensa snapshot.</x:v>
      </x:c>
      <x:c r="M136" s="14" t="str">
        <x:v>Por policy; leitura/análise não exige aprovação. Escritas sensíveis escalam.</x:v>
      </x:c>
      <x:c r="N136" s="14" t="str">
        <x:v>Retry bounded; registrar causa, correlação UUIDv7 e Evidence Ledger.</x:v>
      </x:c>
    </x:row>
    <x:row r="137" ht="64" customHeight="1">
      <x:c r="A137" s="14" t="str">
        <x:v>01a0e473-f662-7592-be0d-691556ec288f</x:v>
      </x:c>
      <x:c r="B137" s="14" t="n">
        <x:v>98</x:v>
      </x:c>
      <x:c r="C137" s="14" t="str">
        <x:v>Beethoven</x:v>
      </x:c>
      <x:c r="D137" s="14" t="str">
        <x:v>F15 Skill Runtime + Memory/Context Engine | F22 Device Nodes</x:v>
      </x:c>
      <x:c r="E137" s="14" t="str">
        <x:v>Fluxo interativo que se beneficia de feedback.</x:v>
      </x:c>
      <x:c r="F137" s="14" t="str">
        <x:v>High-fidelity e user intent.</x:v>
      </x:c>
      <x:c r="G137" s="14" t="str">
        <x:v>Projetar motion/audio UX e timings.</x:v>
      </x:c>
      <x:c r="H137" s="14" t="str">
        <x:v>Motion/audio specification.</x:v>
      </x:c>
      <x:c r="I137" s="14" t="str">
        <x:v>Mozart/Vivaldi/Splinter.</x:v>
      </x:c>
      <x:c r="J137" s="14" t="str">
        <x:v>agent.beethoven.started / .completed / .failed + evidence.ledger.recorded</x:v>
      </x:c>
      <x:c r="K137" s="14" t="str">
        <x:v>Task UUIDv7 sob demanda; sem lease longa por padrão.</x:v>
      </x:c>
      <x:c r="L137" s="14" t="str">
        <x:v>Checkpoint quando houver write persistente; leitura pura dispensa snapshot.</x:v>
      </x:c>
      <x:c r="M137" s="14" t="str">
        <x:v>Por policy; leitura/análise não exige aprovação. Escritas sensíveis escalam.</x:v>
      </x:c>
      <x:c r="N137" s="14" t="str">
        <x:v>Retry bounded; registrar causa, correlação UUIDv7 e Evidence Ledger.</x:v>
      </x:c>
    </x:row>
    <x:row r="138" ht="64" customHeight="1">
      <x:c r="A138" s="14" t="str">
        <x:v>01a0e473-f663-7ba8-968d-2935c62698e3</x:v>
      </x:c>
      <x:c r="B138" s="14" t="n">
        <x:v>99</x:v>
      </x:c>
      <x:c r="C138" s="14" t="str">
        <x:v>Mozart</x:v>
      </x:c>
      <x:c r="D138" s="14" t="str">
        <x:v>F20 Team Runtime | F25 Knowledge / Evidence Graph</x:v>
      </x:c>
      <x:c r="E138" s="14" t="str">
        <x:v>Fluxo complexo ou fricção de uso.</x:v>
      </x:c>
      <x:c r="F138" s="14" t="str">
        <x:v>Journey metrics e design.</x:v>
      </x:c>
      <x:c r="G138" s="14" t="str">
        <x:v>Simplificar jornada e comparar alternativas.</x:v>
      </x:c>
      <x:c r="H138" s="14" t="str">
        <x:v>Simplified journey specification.</x:v>
      </x:c>
      <x:c r="I138" s="14" t="str">
        <x:v>User Proof/Splinter.</x:v>
      </x:c>
      <x:c r="J138" s="14" t="str">
        <x:v>agent.mozart.started / .completed / .failed + evidence.ledger.recorded</x:v>
      </x:c>
      <x:c r="K138" s="14" t="str">
        <x:v>Task UUIDv7 sob demanda; sem lease longa por padrão.</x:v>
      </x:c>
      <x:c r="L138" s="14" t="str">
        <x:v>Checkpoint quando houver write persistente; leitura pura dispensa snapshot.</x:v>
      </x:c>
      <x:c r="M138" s="14" t="str">
        <x:v>Por policy; leitura/análise não exige aprovação. Escritas sensíveis escalam.</x:v>
      </x:c>
      <x:c r="N138" s="14" t="str">
        <x:v>Retry bounded; registrar causa, correlação UUIDv7 e Evidence Ledger.</x:v>
      </x:c>
    </x:row>
    <x:row r="139" ht="64" customHeight="1">
      <x:c r="A139" s="14" t="str">
        <x:v>01a0e473-f664-7319-b7b9-7b5637d211ff</x:v>
      </x:c>
      <x:c r="B139" s="14" t="n">
        <x:v>100</x:v>
      </x:c>
      <x:c r="C139" s="14" t="str">
        <x:v>Vivaldi</x:v>
      </x:c>
      <x:c r="D139" s="14" t="str">
        <x:v>F15 Skill Runtime + Memory/Context Engine</x:v>
      </x:c>
      <x:c r="E139" s="14" t="str">
        <x:v>Experiência deve se adaptar a contexto.</x:v>
      </x:c>
      <x:c r="F139" s="14" t="str">
        <x:v>Design system e context signals.</x:v>
      </x:c>
      <x:c r="G139" s="14" t="str">
        <x:v>Criar contextual UX variants e regras de seleção.</x:v>
      </x:c>
      <x:c r="H139" s="14" t="str">
        <x:v>Contextual UX specification.</x:v>
      </x:c>
      <x:c r="I139" s="14" t="str">
        <x:v>Splinter/Accessibility/User Proof.</x:v>
      </x:c>
      <x:c r="J139" s="14" t="str">
        <x:v>agent.vivaldi.started / .completed / .failed + evidence.ledger.recorded</x:v>
      </x:c>
      <x:c r="K139" s="14" t="str">
        <x:v>Task UUIDv7 sob demanda; sem lease longa por padrão.</x:v>
      </x:c>
      <x:c r="L139" s="14" t="str">
        <x:v>Checkpoint quando houver write persistente; leitura pura dispensa snapshot.</x:v>
      </x:c>
      <x:c r="M139" s="14" t="str">
        <x:v>Por policy; leitura/análise não exige aprovação. Escritas sensíveis escalam.</x:v>
      </x:c>
      <x:c r="N139" s="14" t="str">
        <x:v>Retry bounded; registrar causa, correlação UUIDv7 e Evidence Ledger.</x:v>
      </x:c>
    </x:row>
    <x:row r="140" ht="64" customHeight="1">
      <x:c r="A140" s="14" t="str">
        <x:v>01a0e473-f665-76d0-b8c6-35d37d1a3a0f</x:v>
      </x:c>
      <x:c r="B140" s="14" t="n">
        <x:v>101</x:v>
      </x:c>
      <x:c r="C140" s="14" t="str">
        <x:v>SOC Agent</x:v>
      </x:c>
      <x:c r="D140" s="14" t="str">
        <x:v>F18 MCP + LSP Runtime | F21 Channel Gateway | F25 Knowledge / Evidence Graph</x:v>
      </x:c>
      <x:c r="E140" s="14" t="str">
        <x:v>Módulo social habilitado.</x:v>
      </x:c>
      <x:c r="F140" s="14" t="str">
        <x:v>Approved connector + content package.</x:v>
      </x:c>
      <x:c r="G140" s="14" t="str">
        <x:v>Publicar/consultar via contratos aprovados e registrar resposta.</x:v>
      </x:c>
      <x:c r="H140" s="14" t="str">
        <x:v>Social integration evidence.</x:v>
      </x:c>
      <x:c r="I140" s="14" t="str">
        <x:v>Data Attribution/QA.</x:v>
      </x:c>
      <x:c r="J140" s="14" t="str">
        <x:v>agent.soc.agent.started / .completed / .failed + evidence.ledger.recorded</x:v>
      </x:c>
      <x:c r="K140" s="14" t="str">
        <x:v>Task UUIDv7 sob demanda; sem lease longa por padrão.</x:v>
      </x:c>
      <x:c r="L140" s="14" t="str">
        <x:v>Checkpoint antes de side effect relevante; hash/manifest; rollback/recovery proof obrigatório quando aplicável.</x:v>
      </x:c>
      <x:c r="M140" s="14" t="str">
        <x:v>Obrigatória para publicação externa, gasto, privilege elevation, ação destrutiva ou exceção constitucional.</x:v>
      </x:c>
      <x:c r="N140" s="14" t="str">
        <x:v>Retry bounded; registrar causa, correlação UUIDv7 e Evidence Ledger.</x:v>
      </x:c>
    </x:row>
    <x:row r="141" ht="64" customHeight="1">
      <x:c r="A141" s="14" t="str">
        <x:v>01a0e473-f666-7f5c-a943-7dde48b0f5f0</x:v>
      </x:c>
      <x:c r="B141" s="14" t="n">
        <x:v>102</x:v>
      </x:c>
      <x:c r="C141" s="14" t="str">
        <x:v>ADS Agent</x:v>
      </x:c>
      <x:c r="D141" s="14" t="str">
        <x:v>F15 Skill Runtime + Memory/Context Engine | F16 Scheduler + Background Jobs | F18 MCP + LSP Runtime | F20 Team Runtime | F21 Channel Gateway</x:v>
      </x:c>
      <x:c r="E141" s="14" t="str">
        <x:v>Módulo Ads habilitado com autorização.</x:v>
      </x:c>
      <x:c r="F141" s="14" t="str">
        <x:v>Campaign contract e budget.</x:v>
      </x:c>
      <x:c r="G141" s="14" t="str">
        <x:v>Executar operações autorizadas de campanha e coletar métricas.</x:v>
      </x:c>
      <x:c r="H141" s="14" t="str">
        <x:v>Ads integration report.</x:v>
      </x:c>
      <x:c r="I141" s="14" t="str">
        <x:v>Data Attribution/FinOps/QA.</x:v>
      </x:c>
      <x:c r="J141" s="14" t="str">
        <x:v>agent.ads.agent.started / .completed / .failed + evidence.ledger.recorded</x:v>
      </x:c>
      <x:c r="K141" s="14" t="str">
        <x:v>Job UUIDv7; lease + heartbeat + fencing_token + resume_token; estado PostgreSQL.</x:v>
      </x:c>
      <x:c r="L141" s="14" t="str">
        <x:v>Checkpoint quando houver write persistente; leitura pura dispensa snapshot.</x:v>
      </x:c>
      <x:c r="M141" s="14" t="str">
        <x:v>Por policy; leitura/análise não exige aprovação. Escritas sensíveis escalam.</x:v>
      </x:c>
      <x:c r="N141" s="14" t="str">
        <x:v>Idempotência; retry exponencial com limite; DLQ; correlation UUIDv7; logs+metrics+traces+evidence.</x:v>
      </x:c>
    </x:row>
    <x:row r="142" ht="64" customHeight="1">
      <x:c r="A142" s="14" t="str">
        <x:v>01a0e473-f667-7726-82af-c0b6713d8e17</x:v>
      </x:c>
      <x:c r="B142" s="14" t="n">
        <x:v>103</x:v>
      </x:c>
      <x:c r="C142" s="14" t="str">
        <x:v>Marketplace Agent</x:v>
      </x:c>
      <x:c r="D142" s="14" t="str">
        <x:v>F15 Skill Runtime + Memory/Context Engine | F18 MCP + LSP Runtime | F21 Channel Gateway</x:v>
      </x:c>
      <x:c r="E142" s="14" t="str">
        <x:v>Módulo commerce habilitado.</x:v>
      </x:c>
      <x:c r="F142" s="14" t="str">
        <x:v>Catalog/order contracts.</x:v>
      </x:c>
      <x:c r="G142" s="14" t="str">
        <x:v>Sincronizar/consultar dados autorizados e reconciliar.</x:v>
      </x:c>
      <x:c r="H142" s="14" t="str">
        <x:v>Marketplace integration evidence.</x:v>
      </x:c>
      <x:c r="I142" s="14" t="str">
        <x:v>Merovíngio/Data/QA.</x:v>
      </x:c>
      <x:c r="J142" s="14" t="str">
        <x:v>agent.marketplace.agent.started / .completed / .failed + evidence.ledger.recorded</x:v>
      </x:c>
      <x:c r="K142" s="14" t="str">
        <x:v>Task UUIDv7 sob demanda; sem lease longa por padrão.</x:v>
      </x:c>
      <x:c r="L142" s="14" t="str">
        <x:v>Checkpoint quando houver write persistente; leitura pura dispensa snapshot.</x:v>
      </x:c>
      <x:c r="M142" s="14" t="str">
        <x:v>Por policy; leitura/análise não exige aprovação. Escritas sensíveis escalam.</x:v>
      </x:c>
      <x:c r="N142" s="14" t="str">
        <x:v>Retry bounded; registrar causa, correlação UUIDv7 e Evidence Ledger.</x:v>
      </x:c>
    </x:row>
    <x:row r="143" ht="64" customHeight="1">
      <x:c r="A143" s="14" t="str">
        <x:v>01a0e473-f668-758e-ac0f-2b3767ad7d2d</x:v>
      </x:c>
      <x:c r="B143" s="14" t="n">
        <x:v>104</x:v>
      </x:c>
      <x:c r="C143" s="14" t="str">
        <x:v>Data Attribution Agent</x:v>
      </x:c>
      <x:c r="D143" s="14" t="str">
        <x:v>F16 Scheduler + Background Jobs | F18 MCP + LSP Runtime | F21 Channel Gateway | F25 Knowledge / Evidence Graph</x:v>
      </x:c>
      <x:c r="E143" s="14" t="str">
        <x:v>Múltiplas fontes alimentam métrica.</x:v>
      </x:c>
      <x:c r="F143" s="14" t="str">
        <x:v>Data contracts.</x:v>
      </x:c>
      <x:c r="G143" s="14" t="str">
        <x:v>Classificar/normalizar/reconciliar eventos e detectar duplicatas.</x:v>
      </x:c>
      <x:c r="H143" s="14" t="str">
        <x:v>Metrics dictionary/attribution evidence.</x:v>
      </x:c>
      <x:c r="I143" s="14" t="str">
        <x:v>Data/FinOps/AI Evaluation.</x:v>
      </x:c>
      <x:c r="J143" s="14" t="str">
        <x:v>agent.data.attribution.agent.started / .completed / .failed + evidence.ledger.recorded</x:v>
      </x:c>
      <x:c r="K143" s="14" t="str">
        <x:v>Job UUIDv7; lease + heartbeat + fencing_token + resume_token; estado PostgreSQL.</x:v>
      </x:c>
      <x:c r="L143" s="14" t="str">
        <x:v>Checkpoint quando houver write persistente; leitura pura dispensa snapshot.</x:v>
      </x:c>
      <x:c r="M143" s="14" t="str">
        <x:v>Por policy; leitura/análise não exige aprovação. Escritas sensíveis escalam.</x:v>
      </x:c>
      <x:c r="N143" s="14" t="str">
        <x:v>Idempotência; retry exponencial com limite; DLQ; correlation UUIDv7; logs+metrics+traces+evidence.</x:v>
      </x:c>
    </x:row>
    <x:row r="144" ht="64" customHeight="1">
      <x:c r="A144" s="14" t="str">
        <x:v>01a0e473-f669-7a16-8a21-a9f42684083a</x:v>
      </x:c>
      <x:c r="B144" s="14" t="n">
        <x:v>105</x:v>
      </x:c>
      <x:c r="C144" s="14" t="str">
        <x:v>AI Evaluation Agent</x:v>
      </x:c>
      <x:c r="D144" s="14" t="str">
        <x:v>F15 Skill Runtime + Memory/Context Engine | F24 Auto-learning + Skill Evolution | F25 Knowledge / Evidence Graph</x:v>
      </x:c>
      <x:c r="E144" s="14" t="str">
        <x:v>Nova feature/modelo/prompt relevante.</x:v>
      </x:c>
      <x:c r="F144" s="14" t="str">
        <x:v>Reference set e metrics.</x:v>
      </x:c>
      <x:c r="G144" s="14" t="str">
        <x:v>Rodar evals e bloquear regressão significativa.</x:v>
      </x:c>
      <x:c r="H144" s="14" t="str">
        <x:v>AI Evaluation Scorecard.</x:v>
      </x:c>
      <x:c r="I144" s="14" t="str">
        <x:v>Model Evaluator/QA.</x:v>
      </x:c>
      <x:c r="J144" s="14" t="str">
        <x:v>agent.ai.evaluation.agent.started / .completed / .failed + evidence.ledger.recorded</x:v>
      </x:c>
      <x:c r="K144" s="14" t="str">
        <x:v>Service loop com heartbeat; tasks idempotentes; estado persistente.</x:v>
      </x:c>
      <x:c r="L144" s="14" t="str">
        <x:v>Checkpoint quando houver write persistente; leitura pura dispensa snapshot.</x:v>
      </x:c>
      <x:c r="M144" s="14" t="str">
        <x:v>Por policy; leitura/análise não exige aprovação. Escritas sensíveis escalam.</x:v>
      </x:c>
      <x:c r="N144" s="14" t="str">
        <x:v>Retry bounded; registrar causa, correlação UUIDv7 e Evidence Ledger.</x:v>
      </x:c>
    </x:row>
    <x:row r="145" ht="64" customHeight="1">
      <x:c r="A145" s="14" t="str">
        <x:v>01a0e473-f66a-7b05-872b-8b3d724fe10a</x:v>
      </x:c>
      <x:c r="B145" s="14" t="n">
        <x:v>106</x:v>
      </x:c>
      <x:c r="C145" s="14" t="str">
        <x:v>React/TypeScript Specialist</x:v>
      </x:c>
      <x:c r="D145" s="14" t="str">
        <x:v>F15 Skill Runtime + Memory/Context Engine | F18 MCP + LSP Runtime | F19 Repo Intelligence / Tree-sitter | F22 Device Nodes</x:v>
      </x:c>
      <x:c r="E145" s="14" t="str">
        <x:v>Integração com frontend legado.</x:v>
      </x:c>
      <x:c r="F145" s="14" t="str">
        <x:v>Legacy source + Phoenix contracts.</x:v>
      </x:c>
      <x:c r="G145" s="14" t="str">
        <x:v>Manter/migrar sem expandir dependência estratégica.</x:v>
      </x:c>
      <x:c r="H145" s="14" t="str">
        <x:v>Adapter/migration patch.</x:v>
      </x:c>
      <x:c r="I145" s="14" t="str">
        <x:v>Merovíngio/Octopus/QA.</x:v>
      </x:c>
      <x:c r="J145" s="14" t="str">
        <x:v>agent.react.typescript.specialist.started / .completed / .failed + evidence.ledger.recorded</x:v>
      </x:c>
      <x:c r="K145" s="14" t="str">
        <x:v>Task UUIDv7 sob demanda; sem lease longa por padrão.</x:v>
      </x:c>
      <x:c r="L145" s="14" t="str">
        <x:v>Checkpoint quando houver write persistente; leitura pura dispensa snapshot.</x:v>
      </x:c>
      <x:c r="M145" s="14" t="str">
        <x:v>Por policy; leitura/análise não exige aprovação. Escritas sensíveis escalam.</x:v>
      </x:c>
      <x:c r="N145" s="14" t="str">
        <x:v>Retry bounded; registrar causa, correlação UUIDv7 e Evidence Ledger.</x:v>
      </x:c>
    </x:row>
    <x:row r="146" ht="64" customHeight="1">
      <x:c r="A146" s="14" t="str">
        <x:v>01a0e473-f66b-753d-9b63-ff887cd361d2</x:v>
      </x:c>
      <x:c r="B146" s="14" t="n">
        <x:v>107</x:v>
      </x:c>
      <x:c r="C146" s="14" t="str">
        <x:v>Rust API/Domain Engineer</x:v>
      </x:c>
      <x:c r="D146" s="14" t="str">
        <x:v>F15 Skill Runtime + Memory/Context Engine | F18 MCP + LSP Runtime | F19 Repo Intelligence / Tree-sitter | F22 Device Nodes | F23 Secret &amp; Credential Broker</x:v>
      </x:c>
      <x:c r="E146" s="14" t="str">
        <x:v>Task backend/domínio.</x:v>
      </x:c>
      <x:c r="F146" s="14" t="str">
        <x:v>Chaveiro contracts e requirements.</x:v>
      </x:c>
      <x:c r="G146" s="14" t="str">
        <x:v>Implementar domínio e serviços.</x:v>
      </x:c>
      <x:c r="H146" s="14" t="str">
        <x:v>Domain implementation.</x:v>
      </x:c>
      <x:c r="I146" s="14" t="str">
        <x:v>Jones/Thompson.</x:v>
      </x:c>
      <x:c r="J146" s="14" t="str">
        <x:v>agent.rust.api.domain.engineer.started / .completed / .failed + evidence.ledger.recorded</x:v>
      </x:c>
      <x:c r="K146" s="14" t="str">
        <x:v>Task UUIDv7 sob demanda; sem lease longa por padrão.</x:v>
      </x:c>
      <x:c r="L146" s="14" t="str">
        <x:v>Checkpoint quando houver write persistente; leitura pura dispensa snapshot.</x:v>
      </x:c>
      <x:c r="M146" s="14" t="str">
        <x:v>Por policy; leitura/análise não exige aprovação. Escritas sensíveis escalam.</x:v>
      </x:c>
      <x:c r="N146" s="14" t="str">
        <x:v>Retry bounded; registrar causa, correlação UUIDv7 e Evidence Ledger.</x:v>
      </x:c>
    </x:row>
    <x:row r="147" ht="64" customHeight="1">
      <x:c r="A147" s="14" t="str">
        <x:v>01a0e473-f66c-74ab-b32c-240f0bfd2eaa</x:v>
      </x:c>
      <x:c r="B147" s="14" t="n">
        <x:v>108</x:v>
      </x:c>
      <x:c r="C147" s="14" t="str">
        <x:v>Rust Worker Engineer</x:v>
      </x:c>
      <x:c r="D147" s="14" t="str">
        <x:v>F15 Skill Runtime + Memory/Context Engine | F16 Scheduler + Background Jobs | F18 MCP + LSP Runtime | F19 Repo Intelligence / Tree-sitter | F22 Device Nodes</x:v>
      </x:c>
      <x:c r="E147" s="14" t="str">
        <x:v>Background processing/task runtime.</x:v>
      </x:c>
      <x:c r="F147" s="14" t="str">
        <x:v>Contracts + SLOs.</x:v>
      </x:c>
      <x:c r="G147" s="14" t="str">
        <x:v>Implementar worker/job e testes de concorrência.</x:v>
      </x:c>
      <x:c r="H147" s="14" t="str">
        <x:v>Worker implementation + concurrency tests.</x:v>
      </x:c>
      <x:c r="I147" s="14" t="str">
        <x:v>Performance/QA2.</x:v>
      </x:c>
      <x:c r="J147" s="14" t="str">
        <x:v>agent.rust.worker.engineer.started / .completed / .failed + evidence.ledger.recorded</x:v>
      </x:c>
      <x:c r="K147" s="14" t="str">
        <x:v>Job UUIDv7; lease + heartbeat + fencing_token + resume_token; estado PostgreSQL.</x:v>
      </x:c>
      <x:c r="L147" s="14" t="str">
        <x:v>Checkpoint quando houver write persistente; leitura pura dispensa snapshot.</x:v>
      </x:c>
      <x:c r="M147" s="14" t="str">
        <x:v>Por policy; leitura/análise não exige aprovação. Escritas sensíveis escalam.</x:v>
      </x:c>
      <x:c r="N147" s="14" t="str">
        <x:v>Idempotência; retry exponencial com limite; DLQ; correlation UUIDv7; logs+metrics+traces+evidence.</x:v>
      </x:c>
    </x:row>
    <x:row r="148" ht="64" customHeight="1">
      <x:c r="A148" s="14" t="str">
        <x:v>01a0e473-f66d-7a71-9cf4-4f1bbb4362b7</x:v>
      </x:c>
      <x:c r="B148" s="14" t="n">
        <x:v>109</x:v>
      </x:c>
      <x:c r="C148" s="14" t="str">
        <x:v>Connector Platform Agent</x:v>
      </x:c>
      <x:c r="D148" s="14" t="str">
        <x:v>F15 Skill Runtime + Memory/Context Engine | F17 Checkpoint + Rollback | F18 MCP + LSP Runtime | F21 Channel Gateway | F22 Device Nodes | F23 Secret &amp; Credential Broker | F25 Knowledge / Evidence Graph</x:v>
      </x:c>
      <x:c r="E148" s="14" t="str">
        <x:v>Nova integração externa.</x:v>
      </x:c>
      <x:c r="F148" s="14" t="str">
        <x:v>Chaveiro contracts + Merovíngio policies.</x:v>
      </x:c>
      <x:c r="G148" s="14" t="str">
        <x:v>Criar connector SDK/adapters e health checks.</x:v>
      </x:c>
      <x:c r="H148" s="14" t="str">
        <x:v>Connector package + contract tests.</x:v>
      </x:c>
      <x:c r="I148" s="14" t="str">
        <x:v>Security/Integration.</x:v>
      </x:c>
      <x:c r="J148" s="14" t="str">
        <x:v>agent.connector.platform.agent.started / .completed / .failed + evidence.ledger.recorded</x:v>
      </x:c>
      <x:c r="K148" s="14" t="str">
        <x:v>Task UUIDv7 sob demanda; sem lease longa por padrão.</x:v>
      </x:c>
      <x:c r="L148" s="14" t="str">
        <x:v>Checkpoint antes de side effect relevante; hash/manifest; rollback/recovery proof obrigatório quando aplicável.</x:v>
      </x:c>
      <x:c r="M148" s="14" t="str">
        <x:v>Por policy; leitura/análise não exige aprovação. Escritas sensíveis escalam.</x:v>
      </x:c>
      <x:c r="N148" s="14" t="str">
        <x:v>Retry bounded; registrar causa, correlação UUIDv7 e Evidence Ledger.</x:v>
      </x:c>
    </x:row>
    <x:row r="149" ht="64" customHeight="1">
      <x:c r="A149" s="14" t="str">
        <x:v>01a0e473-f66e-700e-bed6-715110ebbc7c</x:v>
      </x:c>
      <x:c r="B149" s="14" t="n">
        <x:v>110</x:v>
      </x:c>
      <x:c r="C149" s="14" t="str">
        <x:v>Zelador de Espaço / Storage Steward</x:v>
      </x:c>
      <x:c r="D149" s="14" t="str">
        <x:v>F15 Skill Runtime + Memory/Context Engine | F17 Checkpoint + Rollback | F22 Device Nodes</x:v>
      </x:c>
      <x:c r="E149" s="14" t="str">
        <x:v>Threshold de disco, agenda ou antes de builds pesados.</x:v>
      </x:c>
      <x:c r="F149" s="14" t="str">
        <x:v>Retention policy e inventory.</x:v>
      </x:c>
      <x:c r="G149" s="14" t="str">
        <x:v>Limpar itens elegíveis, compactar/arquivar, alertar capacidade e gerar reclaim plan.</x:v>
      </x:c>
      <x:c r="H149" s="14" t="str">
        <x:v>Space/Recovery Report e bytes recuperados.</x:v>
      </x:c>
      <x:c r="I149" s="14" t="str">
        <x:v>SRE/Artifact Manager/Backup.</x:v>
      </x:c>
      <x:c r="J149" s="14" t="str">
        <x:v>agent.zelador.de.espaco.storage.steward.started / .completed / .failed + evidence.ledger.recorded</x:v>
      </x:c>
      <x:c r="K149" s="14" t="str">
        <x:v>Service loop com heartbeat; tasks idempotentes; estado persistente.</x:v>
      </x:c>
      <x:c r="L149" s="14" t="str">
        <x:v>Checkpoint antes de side effect relevante; hash/manifest; rollback/recovery proof obrigatório quando aplicável.</x:v>
      </x:c>
      <x:c r="M149" s="14" t="str">
        <x:v>Por policy; leitura/análise não exige aprovação. Escritas sensíveis escalam.</x:v>
      </x:c>
      <x:c r="N149" s="14" t="str">
        <x:v>Retry bounded; registrar causa, correlação UUIDv7 e Evidence Ledger.</x:v>
      </x:c>
    </x:row>
  </x:sheetData>
  <x:mergeCells>
    <x:mergeCell ref="A1:F1"/>
    <x:mergeCell ref="A38:N38"/>
  </x:mergeCells>
  <x:conditionalFormatting sqref="A40:N149">
    <x:cfRule type="expression" dxfId="1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c2727360fa448e"/>
  </x:tableParts>
</x:worksheet>
</file>